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hodbert-e\Documents\GitHub\systematic_review\"/>
    </mc:Choice>
  </mc:AlternateContent>
  <xr:revisionPtr revIDLastSave="0" documentId="13_ncr:1_{C2FB8BB6-350E-49CE-BEAA-3A61104364D9}" xr6:coauthVersionLast="47" xr6:coauthVersionMax="47" xr10:uidLastSave="{00000000-0000-0000-0000-000000000000}"/>
  <bookViews>
    <workbookView xWindow="-109" yWindow="-109" windowWidth="26301" windowHeight="14169" xr2:uid="{00000000-000D-0000-FFFF-FFFF00000000}"/>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H27" i="1" l="1"/>
  <c r="AK60" i="1"/>
</calcChain>
</file>

<file path=xl/sharedStrings.xml><?xml version="1.0" encoding="utf-8"?>
<sst xmlns="http://schemas.openxmlformats.org/spreadsheetml/2006/main" count="4986" uniqueCount="1431">
  <si>
    <t>DiVincenzo_2018</t>
  </si>
  <si>
    <t>Exploring the networking behaviors of hospital organizations</t>
  </si>
  <si>
    <t>Di Vincenzo F</t>
  </si>
  <si>
    <t>BMC Health Services Research</t>
  </si>
  <si>
    <t>Health Policy</t>
  </si>
  <si>
    <t>To study the dynamics of networking behaviors aming hospital organizations by analyzing the determinants of patient transfer relationships over time</t>
  </si>
  <si>
    <t>Hospital information system databasemanaged by the Abruzzo region</t>
  </si>
  <si>
    <t>Archives of the Abruzzo Regional Health Agency</t>
  </si>
  <si>
    <t>administrative data (?)</t>
  </si>
  <si>
    <t>Health insurance databases</t>
  </si>
  <si>
    <t>The dataset used and/or analyzed during the current study is available from the author on reasonable request. Data on hospital activities  and information on demographics and performance  were taken from the Abruzzo Health Agency archives and yearly reports. These data are collected regularly and archived digitally by the Region for administrative purposes  and by the Health Agency for its operational and reporting activities.</t>
  </si>
  <si>
    <t>Network not available.</t>
  </si>
  <si>
    <t>Direct</t>
  </si>
  <si>
    <t>NA</t>
  </si>
  <si>
    <t>Hospitals</t>
  </si>
  <si>
    <t>Private and public hospitals, including teaching hospitals</t>
  </si>
  <si>
    <t>Interfacility</t>
  </si>
  <si>
    <t>35 (22 public, 13 private)</t>
  </si>
  <si>
    <t>Regional</t>
  </si>
  <si>
    <t>Subnational</t>
  </si>
  <si>
    <t>Italy</t>
  </si>
  <si>
    <t>Temporal</t>
  </si>
  <si>
    <t>Yearly</t>
  </si>
  <si>
    <t>no</t>
  </si>
  <si>
    <t>density, degree, indegree = popularity, outdegree = activity, Jaccard coefficient (tie stability over time), dyadic and triadic structural effects (reciprocity, transitivity) reciprocity, transitive ties, 3-Cycles, balance</t>
  </si>
  <si>
    <t>in-degree, out-degree, reciprocity, transitive ties, Jaccard similarity</t>
  </si>
  <si>
    <t>modeling of determinants of patient transfer evolution modeling partner selection choice as a combination of multiple
organizational attributes and endogenous network-based processes.</t>
  </si>
  <si>
    <t>équation de recherche</t>
  </si>
  <si>
    <t>D'après eux, Archival sources are generally more precise and detailed than surveys and provided complete information on the network of hospitals: there were no missing data. De plus The Italian National Health Service (I-NHS) is a publicly funded health system that provides universal coverage. The government, at the central level, allocates resources to 20 Italian regions and is responsible for defining the core benefit packages and ensuring that basic coverage is provided to the entire population. Regional governments have wide autonomy in planning, allocating resources, and organizing regional level services, and are responsible for delivering health care services to their resident populations.</t>
  </si>
  <si>
    <t>Patient transfers are influenced by organizational attributes (ex: number of staffed beds, case mix), institutional factors (ex: LHA membership) and geographical proximity</t>
  </si>
  <si>
    <t>network ties are more likely to form between hospitals facing similar operational uncertainty (=unprectability in hospital admissions, measured by the percentage of emergency admissions) and less likely between hospitals with overlapping specialties</t>
  </si>
  <si>
    <t>over time, the network showed tendencies toward reciprocity and transitive ties, highlighting structural and relational patterns in collaboration</t>
  </si>
  <si>
    <t>Kitts_2017</t>
  </si>
  <si>
    <t>Investigating the temporal dynamics of interorganizational exchange: patient transfers among Italian hospitals</t>
  </si>
  <si>
    <t>Kitts JA; Lomi A; Mascia D; Pallotti F; Quintane E</t>
  </si>
  <si>
    <t>American Journal of Sociology</t>
  </si>
  <si>
    <t>Social sciences</t>
  </si>
  <si>
    <t>Social Science</t>
  </si>
  <si>
    <t>To analyze the temporal dynamics of interhospital patient transfers and study how organizational reciprocation and embedding influence patient flows in a regional healthcare network</t>
  </si>
  <si>
    <t>clinical records from the public health agency of Abruzzo</t>
  </si>
  <si>
    <t>données comme la cnam?</t>
  </si>
  <si>
    <t>No mention of data availibility. But use of Abruzzo data, so probably available upon reasonable request</t>
  </si>
  <si>
    <t>Private and public hospitals which include teaching hospitals</t>
  </si>
  <si>
    <t>regional</t>
  </si>
  <si>
    <t>Monthly</t>
  </si>
  <si>
    <t>Monthly (called short-term) and yearly (called long-term)</t>
  </si>
  <si>
    <t>yes</t>
  </si>
  <si>
    <t>elective inpatient transfers</t>
  </si>
  <si>
    <t>node level : indegree, outdegree, embedding inertia (whether a hospital tends to transfer patients to the same hospital over time)), embedding reciprocation (wheter a hospital is more likely to transfer patients to hospitals that have transferred patients to it in the past), dependence reciprocation (Whether a hospital tends to send patients to hospitals on which it is dependent for receiving patients.). dyadic level : reciprocity, transfer volume, shared partners. triadic-level metrics : transitivte triad closure (Likelihood that a hospital sends patients to a second hospital that already receives patients from a mutual partner (A → B, B → C → A).), cyclic triad closure (Likelihood that a hospital sends patients to a second hospital that has previously transferred patients to a third hospital, which in turn has transferred patients back to the first hospital (A → B → C → A).). Temporal metrics : Short-Term Reciprocation – Reciprocation behavior within a one-month window. ; Long-Term Reciprocation – Reciprocation behavior within a one-year window.</t>
  </si>
  <si>
    <t>in-degree, out-degree, reciprocity, transfer volume, shared partners, transitivity, cyclic closure, short-term reciprocation, long-term reciprocation</t>
  </si>
  <si>
    <t>Relational event modeling to study the sequence and dynamics of patient transfers over time.</t>
  </si>
  <si>
    <t>Analysis of triadic closure (how hospital interactions form cycles or clusters) + Distinction between competitive (same specialty or nearby hospitals) and complementary (different specialties or distant hospitals) exchanges.</t>
  </si>
  <si>
    <r>
      <t>Deux mécanismes distincts de réciprocité</t>
    </r>
    <r>
      <rPr>
        <sz val="11"/>
        <color theme="1"/>
        <rFont val="Calibri"/>
        <family val="2"/>
        <scheme val="minor"/>
      </rPr>
      <t xml:space="preserve"> sont mis en évidence : la </t>
    </r>
    <r>
      <rPr>
        <i/>
        <sz val="11"/>
        <color theme="1"/>
        <rFont val="Calibri"/>
        <family val="2"/>
        <scheme val="minor"/>
      </rPr>
      <t>dépendance</t>
    </r>
    <r>
      <rPr>
        <sz val="11"/>
        <color theme="1"/>
        <rFont val="Calibri"/>
        <family val="2"/>
        <scheme val="minor"/>
      </rPr>
      <t xml:space="preserve"> (court terme) et </t>
    </r>
    <r>
      <rPr>
        <i/>
        <sz val="11"/>
        <color theme="1"/>
        <rFont val="Calibri"/>
        <family val="2"/>
        <scheme val="minor"/>
      </rPr>
      <t>l’ancrage organisationnel</t>
    </r>
    <r>
      <rPr>
        <sz val="11"/>
        <color theme="1"/>
        <rFont val="Calibri"/>
        <family val="2"/>
        <scheme val="minor"/>
      </rPr>
      <t xml:space="preserve"> (long terme). Le premier reflète une réponse immédiate aux flux actuels de ressources, tandis que le second repose sur l’historique des échanges entre organisations.</t>
    </r>
  </si>
  <si>
    <r>
      <t>Le contexte de la concurrence modifie les dynamiques</t>
    </r>
    <r>
      <rPr>
        <sz val="11"/>
        <color theme="1"/>
        <rFont val="Calibri"/>
        <family val="2"/>
        <scheme val="minor"/>
      </rPr>
      <t xml:space="preserve"> : dans des contextes </t>
    </r>
    <r>
      <rPr>
        <i/>
        <sz val="11"/>
        <color theme="1"/>
        <rFont val="Calibri"/>
        <family val="2"/>
        <scheme val="minor"/>
      </rPr>
      <t>non compétitifs</t>
    </r>
    <r>
      <rPr>
        <sz val="11"/>
        <color theme="1"/>
        <rFont val="Calibri"/>
        <family val="2"/>
        <scheme val="minor"/>
      </rPr>
      <t xml:space="preserve">, les deux types de réciprocité émergent clairement. Par conter, dans des contextes </t>
    </r>
    <r>
      <rPr>
        <i/>
        <sz val="11"/>
        <color theme="1"/>
        <rFont val="Calibri"/>
        <family val="2"/>
        <scheme val="minor"/>
      </rPr>
      <t>compétitifs</t>
    </r>
    <r>
      <rPr>
        <sz val="11"/>
        <color theme="1"/>
        <rFont val="Calibri"/>
        <family val="2"/>
        <scheme val="minor"/>
      </rPr>
      <t>, la réciprocité disparaît et laisse place à la formation de hiérarchies de statut entre hôpitaux.</t>
    </r>
  </si>
  <si>
    <r>
      <t xml:space="preserve">Importance de considérer l'aspect temporel: </t>
    </r>
    <r>
      <rPr>
        <sz val="11"/>
        <color theme="1"/>
        <rFont val="Calibri"/>
        <family val="2"/>
        <scheme val="minor"/>
      </rPr>
      <t>l’analyse fine des transferts (plutôt que leur agrégation) permet de révéler les mécanismes sous-jacents à la formation des structures sociales entre organisations.</t>
    </r>
  </si>
  <si>
    <t>Lomi_2014</t>
  </si>
  <si>
    <t>Quality of Care and Interhospital Collaboration : a study of patient transfers in Italy</t>
  </si>
  <si>
    <t>Lomi A; Mascia D; Vu DQ; Pallotti F; Conaldi G; Iwashyna TJ</t>
  </si>
  <si>
    <t>Medical Care</t>
  </si>
  <si>
    <t>Public Health</t>
  </si>
  <si>
    <t>Public health, Epidemiology, Infectious Diseases</t>
  </si>
  <si>
    <t>Assess whether interorganizational relations provide individual pateints access to higher quality providers of care</t>
  </si>
  <si>
    <t>Agency of Public health of Italy</t>
  </si>
  <si>
    <t>Electronic health records</t>
  </si>
  <si>
    <t>24 hours</t>
  </si>
  <si>
    <t>Private hospitals and public hospitals including teaching hospitals</t>
  </si>
  <si>
    <t>Because other articlers on this network said temporal</t>
  </si>
  <si>
    <t>Outdegree, weighted outdegree, weighted indegree, case mix, reciprocity, assrtativity by degree, assortativity by intesnity, transitive closure, cyclic closure</t>
  </si>
  <si>
    <t>in-degree, weighted in-degree, out-degree, weighted out-degree, reciprocity, assortativity, recent sending, recent receiving, cyclic closure, transitive closure</t>
  </si>
  <si>
    <t>Equation de recherche</t>
  </si>
  <si>
    <r>
      <t>Les transferts de patients facilitent l’accès à des soins de meilleure qualité</t>
    </r>
    <r>
      <rPr>
        <sz val="11"/>
        <color theme="1"/>
        <rFont val="Calibri"/>
        <family val="2"/>
        <scheme val="minor"/>
      </rPr>
      <t xml:space="preserve"> : les données montrent que, toutes choses égales par ailleurs, les patients sont transférés de manière décentralisée des hôpitaux moins performants vers ceux affichant un taux de réadmission plus faible, utilisé ici comme indicateur de qualité.</t>
    </r>
  </si>
  <si>
    <r>
      <t>Les transferts suivent des logiques relationnelles bien établies</t>
    </r>
    <r>
      <rPr>
        <sz val="11"/>
        <color theme="1"/>
        <rFont val="Calibri"/>
        <family val="2"/>
        <scheme val="minor"/>
      </rPr>
      <t xml:space="preserve"> : au-delà de la qualité, des facteurs comme la proximité géographique, l’appartenance à la même unité locale de santé (LHU), ou encore des relations passées influencent fortement la probabilité de transfert entre hôpitaux.</t>
    </r>
  </si>
  <si>
    <r>
      <t>Deux types de transferts, deux logiques différentes</t>
    </r>
    <r>
      <rPr>
        <sz val="11"/>
        <color theme="1"/>
        <rFont val="Calibri"/>
        <family val="2"/>
        <scheme val="minor"/>
      </rPr>
      <t xml:space="preserve"> : les transferts </t>
    </r>
    <r>
      <rPr>
        <i/>
        <sz val="11"/>
        <color theme="1"/>
        <rFont val="Calibri"/>
        <family val="2"/>
        <scheme val="minor"/>
      </rPr>
      <t>entre spécialités</t>
    </r>
    <r>
      <rPr>
        <sz val="11"/>
        <color theme="1"/>
        <rFont val="Calibri"/>
        <family val="2"/>
        <scheme val="minor"/>
      </rPr>
      <t xml:space="preserve"> s’appuient sur la complémentarité des services et montrent des dynamiques de fermeture transitive (réseaux triangulaires), tandis que les transferts </t>
    </r>
    <r>
      <rPr>
        <i/>
        <sz val="11"/>
        <color theme="1"/>
        <rFont val="Calibri"/>
        <family val="2"/>
        <scheme val="minor"/>
      </rPr>
      <t>au sein d’une même spécialité</t>
    </r>
    <r>
      <rPr>
        <sz val="11"/>
        <color theme="1"/>
        <rFont val="Calibri"/>
        <family val="2"/>
        <scheme val="minor"/>
      </rPr>
      <t xml:space="preserve"> sont moins influencés par la structure du réseau, mais ont tendance à se répéter une fois initiés, renforçant la collaboration entre partenaires spécifiques.</t>
    </r>
  </si>
  <si>
    <t>Mascia_2011</t>
  </si>
  <si>
    <t>Understanding hospital performance: the role of network ties and patterns of competition</t>
  </si>
  <si>
    <t>Mascia D ; Di Vincenzo F</t>
  </si>
  <si>
    <t>Health Care Management Review</t>
  </si>
  <si>
    <t>Health policy</t>
  </si>
  <si>
    <t>To explore how interhospital collaborative network ties and competitive relationships affect hospital productivity</t>
  </si>
  <si>
    <t>1 network every year (so five networks)</t>
  </si>
  <si>
    <t>competition (defined as sum of niche overlaps), collaboration (measure by eigenvector centrality)</t>
  </si>
  <si>
    <t>niche overlap, eigenvector centrality</t>
  </si>
  <si>
    <t>Modèles de régression des moindres carrés généralisés (GLS) pour évaluer l’impact des relations de collaboration et de compétition sur la productivité hospitalière.</t>
  </si>
  <si>
    <t>trouvé dans Huang_2010. exclu car aucune mention de transfert de patient dans le titre/abstract</t>
  </si>
  <si>
    <t>Plus un hôpital est intégré dans un réseau coopératif, plus sa productivité augmente. Alors qu'une forte pression concurrentielle (mesurée par le chevauchement de niches) nuit à sa performance.</t>
  </si>
  <si>
    <r>
      <t>L’effet négatif de la concurrence peut être atténué par la collaboration</t>
    </r>
    <r>
      <rPr>
        <sz val="11"/>
        <color theme="1"/>
        <rFont val="Calibri"/>
        <family val="2"/>
        <scheme val="minor"/>
      </rPr>
      <t xml:space="preserve"> : les hôpitaux exposés à une forte compétition peuvent compenser cette pression grâce à des liens collaboratifs, montrant que coopétition (collaboration + compétition) peut être bénéfique.</t>
    </r>
  </si>
  <si>
    <r>
      <t>L’étude adopte une perspective d’« embeddedness »</t>
    </r>
    <r>
      <rPr>
        <sz val="11"/>
        <color theme="1"/>
        <rFont val="Calibri"/>
        <family val="2"/>
        <scheme val="minor"/>
      </rPr>
      <t xml:space="preserve"> : elle considère les hôpitaux non comme des acteurs isolés, mais comme des organisations interdépendantes, dont les performances dépendent des relations de collaboration et de rivalité dans leur environnement institutionnel et géographique.</t>
    </r>
  </si>
  <si>
    <t>Mascia_2012</t>
  </si>
  <si>
    <t>Dynamic analysis of interhospital collaboration and competition: Empirical evidence from an Italian regional health system</t>
  </si>
  <si>
    <t>Mascia D ; Di Vincenzo F ; Cicchetti A</t>
  </si>
  <si>
    <t>To examine the dynamics of collaboration and competition among hospitals in the Italian National Health System (I-NHS), focusing on patient-sharing networks and their evolution over time.</t>
  </si>
  <si>
    <t>archives of the Abruzzo Regional Health Agency.</t>
  </si>
  <si>
    <t>density, degree</t>
  </si>
  <si>
    <t>niche overlap</t>
  </si>
  <si>
    <t>Negative binomial regression assessed the relationship between competition and collaboration. Examined effects of variables like geographical proximity, organizational form, and resource complementarity on collaboration.</t>
  </si>
  <si>
    <t>Investigated competitive overlap using niche models (Sohn’s niche overlap coefficient).</t>
  </si>
  <si>
    <t>trouvé dans Bartulocci_2023.</t>
  </si>
  <si>
    <r>
      <t>La concurrence ne nuit pas à la collaboration interhospitalière</t>
    </r>
    <r>
      <rPr>
        <sz val="11"/>
        <color theme="1"/>
        <rFont val="Calibri"/>
        <family val="2"/>
        <scheme val="minor"/>
      </rPr>
      <t xml:space="preserve"> : contrairement à certaines attentes théoriques, l’étude montre que les hôpitaux exposés à une forte concurrence sont aussi plus susceptibles de collaborer (par le biais de transferts de patients), suggérant une forme de « co-opétition » structurelle dans les systèmes de santé universels.</t>
    </r>
  </si>
  <si>
    <r>
      <t>Les collaborations sont principalement locales et influencées par la complémentarité des ressources</t>
    </r>
    <r>
      <rPr>
        <sz val="11"/>
        <color theme="1"/>
        <rFont val="Calibri"/>
        <family val="2"/>
        <scheme val="minor"/>
      </rPr>
      <t xml:space="preserve"> : les hôpitaux ayant des profils complémentaires (par exemple, équipements ou expertise) ou des différences significatives de volume d’activité ou de performance ont tendance à partager davantage de patients.</t>
    </r>
  </si>
  <si>
    <r>
      <t>L'</t>
    </r>
    <r>
      <rPr>
        <sz val="11"/>
        <color theme="1"/>
        <rFont val="Calibri"/>
        <family val="2"/>
        <scheme val="minor"/>
      </rPr>
      <t>analyse longitudinale des flux de patients entre hôpitaux (via une méthode de réseau) révèle des mécanismes endogènes d’organisation et de coordination, même en l’absence de politiques explicites de collaboration.</t>
    </r>
  </si>
  <si>
    <t>Mascia_2013</t>
  </si>
  <si>
    <t>Dynamics of hospital competition: Social network analysis in the Italian National Health Service</t>
  </si>
  <si>
    <t>To analyze the evolution of competitive interdependences between hospital organizations and identify the organizational factors influencing these dynamics</t>
  </si>
  <si>
    <t>Examined the role of collaboration (patient-sharing), geographic proximity, and organizational characteristics (e.g., performance, size) in fostering competition.</t>
  </si>
  <si>
    <t>Modeled the dynamics of competition using stochastic actor-based models (SIENA).</t>
  </si>
  <si>
    <r>
      <t>Collaboration et compétition coexistent dans les réseaux hospitaliers</t>
    </r>
    <r>
      <rPr>
        <sz val="11"/>
        <color theme="1"/>
        <rFont val="Calibri"/>
        <family val="2"/>
        <scheme val="minor"/>
      </rPr>
      <t xml:space="preserve"> : les hôpitaux qui collaborent (via le partage de patients) sont aussi plus susceptibles d’être en compétition, illustrant un phénomène de </t>
    </r>
    <r>
      <rPr>
        <i/>
        <sz val="11"/>
        <color theme="1"/>
        <rFont val="Calibri"/>
        <family val="2"/>
        <scheme val="minor"/>
      </rPr>
      <t>co-opétition</t>
    </r>
    <r>
      <rPr>
        <sz val="11"/>
        <color theme="1"/>
        <rFont val="Calibri"/>
        <family val="2"/>
        <scheme val="minor"/>
      </rPr>
      <t xml:space="preserve"> où coopération et rivalité structurent conjointement le marché.</t>
    </r>
  </si>
  <si>
    <r>
      <t>La compétition est fortement locale et influencée par la proximité géographique</t>
    </r>
    <r>
      <rPr>
        <sz val="11"/>
        <color theme="1"/>
        <rFont val="Calibri"/>
        <family val="2"/>
        <scheme val="minor"/>
      </rPr>
      <t xml:space="preserve"> : les interférences concurrentielles entre hôpitaux sont plus fréquentes entre structures proches géographiquement, et à l’intérieur des mêmes LHU, confirmant que les marchés de soins sont avant tout territoriaux.</t>
    </r>
  </si>
  <si>
    <r>
      <t>La compétition s’intensifie entre hôpitaux présentant des performances différentes</t>
    </r>
    <r>
      <rPr>
        <sz val="11"/>
        <color theme="1"/>
        <rFont val="Calibri"/>
        <family val="2"/>
        <scheme val="minor"/>
      </rPr>
      <t xml:space="preserve"> : les hôpitaux plus performants sont à la fois plus susceptibles d’initier des relations concurrentielles et moins exposés à la concurrence entrante, révélant des dynamiques stratégiques asymétriques basées sur les ressources et la qualité.</t>
    </r>
  </si>
  <si>
    <t>Mascia_2015</t>
  </si>
  <si>
    <t>Effect of hospital referral networks on patient readmissions</t>
  </si>
  <si>
    <t>Mascia D ; Angeli F ; Di Vincenzo F</t>
  </si>
  <si>
    <t>Social Science &amp; Medicine</t>
  </si>
  <si>
    <t>Social science applied to health, history and philosophy of science</t>
  </si>
  <si>
    <t>To examine how hospital referral networks affect patient readmission rates and to understand the role of network structures in care delivery outcomes.</t>
  </si>
  <si>
    <t>Data were provided by the Agency of Public Health, whose institutional mandate is to collect and manage administrative discharge data for the purpose of assessing regional hospitals' activities and performance. Patient information was anonymized using unique identification codes assigned to admitted patients by the regional agency. The codes, together with information about the dates and nature of discharges/admissions, were used to identify collaborative interhospital patient referrals. Administrative data were matched to identify patient transfers between hospitals, defined as discharge of a given patient and his/her admission by a different referral provider within 24 h afteradmission to the sender hospital (Lee et al., 2011). No ethical approval was necessary for this study since no experimental research was performed and patient information consisted of secondary data routinely collected and released by a regional agency of public health.</t>
  </si>
  <si>
    <t>24 hours between 2 stays</t>
  </si>
  <si>
    <t>Static</t>
  </si>
  <si>
    <t>Aggregated</t>
  </si>
  <si>
    <t>Static (different of Mascia 2011 Mascia 2012 and Mascia 2013 because they had data on only 1 year, and before they did 1 netwotrk every year)</t>
  </si>
  <si>
    <t>bonanich power, density</t>
  </si>
  <si>
    <t>Hierarchical logistic regression models to assess the influence of network attributes (e.g., centrality, density) on readmission rates.</t>
  </si>
  <si>
    <r>
      <t>Les hôpitaux les plus centraux dans les réseaux de transfert de patients ont un taux de réadmission plus faible</t>
    </r>
    <r>
      <rPr>
        <sz val="11"/>
        <color theme="1"/>
        <rFont val="Calibri"/>
        <family val="2"/>
        <scheme val="minor"/>
      </rPr>
      <t xml:space="preserve"> : une position centrale, mesurée par la centralité de Bonacich, est associée à une meilleure coordination, un accès privilégié à l’information, et une capacité accrue à orienter les patients vers les partenaires les plus adaptés.</t>
    </r>
  </si>
  <si>
    <r>
      <t>À l’inverse, une forte densité du réseau local d’un hôpital augmente les réadmissions</t>
    </r>
    <r>
      <rPr>
        <sz val="11"/>
        <color theme="1"/>
        <rFont val="Calibri"/>
        <family val="2"/>
        <scheme val="minor"/>
      </rPr>
      <t xml:space="preserve"> : un ego-network dense signifie que les partenaires d’un hôpital collaborent aussi entre eux, ce qui peut indiquer un manque de spécialisation et une surcharge des processus de coordination, réduisant ainsi la qualité des soins.</t>
    </r>
  </si>
  <si>
    <r>
      <t>La qualité des connexions prime sur leur quantité</t>
    </r>
    <r>
      <rPr>
        <sz val="11"/>
        <color theme="1"/>
        <rFont val="Calibri"/>
        <family val="2"/>
        <scheme val="minor"/>
      </rPr>
      <t xml:space="preserve"> : ce n’est pas le nombre de partenaires qui importe le plus, mais plutôt le type de relations établies. Des connexions structurées avec des hubs spécialisés apportent des bénéfices en termes de qualité, tandis qu’un réseau dispersé et peu structuré peut avoir l’effet inverse.</t>
    </r>
  </si>
  <si>
    <t>Vu_2017</t>
  </si>
  <si>
    <t>Relational event models for longitudinal network data with an application to interhospital patient transfers</t>
  </si>
  <si>
    <t>Vu D ; Lomi A ; Mascia D ; Pallotti F</t>
  </si>
  <si>
    <t>Statistics in Medicine</t>
  </si>
  <si>
    <t>Mathematics (Statistics and Probability), Medicine (Epidemiology)</t>
  </si>
  <si>
    <t>Computer science applied to health</t>
  </si>
  <si>
    <t>To introduce relational event models for analyzing dynamic, time-stamped patient transfer data and to explore the patterns of interhospital patient transfers in a small regional community</t>
  </si>
  <si>
    <t>Regional Agency of Public Health</t>
  </si>
  <si>
    <t>Elective (non-emergency) patient transfers, excluding emergency cases</t>
  </si>
  <si>
    <t>out-degree, in-degree, out-intensity, in-intensity, sending balance, receiving balance, reciprocity, assortativity by degree, assortativity by intensity, transitive closure, cyclic closure, sending and receiving balance</t>
  </si>
  <si>
    <t>out-degree, in-degree, out-intensity, in-intensity, recent sending, recent receiving, reciprocity, assortativity, cyclic closure, sending balance, receiving balance</t>
  </si>
  <si>
    <t>conditional multinomial logistic regression models for transfer destination. To assess what covariables influence the choice of receiving hospital.</t>
  </si>
  <si>
    <t>distinction between within-specialty and between-specialty transfers</t>
  </si>
  <si>
    <t>Phrase dans le mat et met: interhospital transfer events within and between specialties are clearly different. The former kind of event (within specialty transfer) is typically motivated by contingent operational factors related to bed availability, or differences in capacity constraints between the sender and the receiver hospital [21]. The latter kind of event (between specialty interhospital transfer) is typically motivated by differences in competencies and capabilities between the sender and receiver hospital [10]. It is possible that the networks induced by these different kinds of events will be different, and it may be interesting to understand exactly how these differences emerge and affect the dynamics of interhospital patient transfer relations. + ils rappellent que la distance géographique est un facteur qui affecte le nombre de transferts entre hôpitaux. + transfers are more likely to occur between different kinds of insittutions (public and private)</t>
  </si>
  <si>
    <r>
      <t>L</t>
    </r>
    <r>
      <rPr>
        <sz val="11"/>
        <color theme="1"/>
        <rFont val="Calibri"/>
        <family val="2"/>
        <scheme val="minor"/>
      </rPr>
      <t>es transferts inter-</t>
    </r>
    <r>
      <rPr>
        <i/>
        <sz val="11"/>
        <color theme="1"/>
        <rFont val="Calibri"/>
        <family val="2"/>
        <scheme val="minor"/>
      </rPr>
      <t>spécialités</t>
    </r>
    <r>
      <rPr>
        <sz val="11"/>
        <color theme="1"/>
        <rFont val="Calibri"/>
        <family val="2"/>
        <scheme val="minor"/>
      </rPr>
      <t xml:space="preserve"> sont davantage influencés par la complémentarité des compétences, la compétition et la similarité, tandis que les transferts </t>
    </r>
    <r>
      <rPr>
        <i/>
        <sz val="11"/>
        <color theme="1"/>
        <rFont val="Calibri"/>
        <family val="2"/>
        <scheme val="minor"/>
      </rPr>
      <t>au sein d’une même spécialité</t>
    </r>
    <r>
      <rPr>
        <sz val="11"/>
        <color theme="1"/>
        <rFont val="Calibri"/>
        <family val="2"/>
        <scheme val="minor"/>
      </rPr>
      <t xml:space="preserve"> sont fortement marqués par la réciprocité et la répétition des relations passées.</t>
    </r>
  </si>
  <si>
    <r>
      <t>Dan</t>
    </r>
    <r>
      <rPr>
        <sz val="11"/>
        <color theme="1"/>
        <rFont val="Calibri"/>
        <family val="2"/>
        <scheme val="minor"/>
      </rPr>
      <t>s les transferts inter-</t>
    </r>
    <r>
      <rPr>
        <i/>
        <sz val="11"/>
        <color theme="1"/>
        <rFont val="Calibri"/>
        <family val="2"/>
        <scheme val="minor"/>
      </rPr>
      <t>spécialités</t>
    </r>
    <r>
      <rPr>
        <sz val="11"/>
        <color theme="1"/>
        <rFont val="Calibri"/>
        <family val="2"/>
        <scheme val="minor"/>
      </rPr>
      <t xml:space="preserve">, on observe une structure plate, collaborative, et relativement équilibrée. À l’inverse, les transferts </t>
    </r>
    <r>
      <rPr>
        <i/>
        <sz val="11"/>
        <color theme="1"/>
        <rFont val="Calibri"/>
        <family val="2"/>
        <scheme val="minor"/>
      </rPr>
      <t>au sein d’une même spécialité</t>
    </r>
    <r>
      <rPr>
        <sz val="11"/>
        <color theme="1"/>
        <rFont val="Calibri"/>
        <family val="2"/>
        <scheme val="minor"/>
      </rPr>
      <t xml:space="preserve"> montrent une structure plus hiérarchique et orientée vers la répétition des relations établies, soulignant des principes d’organisation différents selon les contextes médicaux.</t>
    </r>
  </si>
  <si>
    <t>Evangelista_2015</t>
  </si>
  <si>
    <t>The geographics of patients transfers: the case of an Italian Regional Health System</t>
  </si>
  <si>
    <t>Evangelista V</t>
  </si>
  <si>
    <t>GeoJournal</t>
  </si>
  <si>
    <t>To analyze the determinants of inter-hospital patient transfers in the Abruzzo regional health system in Italy, focusing on geographical, organizational, institutional and relational proximities</t>
  </si>
  <si>
    <t>hospital discharge registers database of Abruzzo regional health agency</t>
  </si>
  <si>
    <t>regarder ce que j'avais mis pour les autres études</t>
  </si>
  <si>
    <t>Static (parce que seulement un an de données, comme Mascia 2015)</t>
  </si>
  <si>
    <t>eigenvector similarity</t>
  </si>
  <si>
    <t>eigenvector centrality</t>
  </si>
  <si>
    <t>Multiple Regression-Quadratic Assignment Procedure (MR-QAP) to evaluate the impact of proximity dimensions (geographical, organizational, institutional, relational) on patient transfers.</t>
  </si>
  <si>
    <t>Inter-hospital patient transfers are influenced by a combination of proximity dimensions, with geographical and institutional proximity enhancing collaboration, while organizational and relational proximity hinder it.</t>
  </si>
  <si>
    <t>Smaller or peripheral hospitals tend to send patients to larger, more central hospitals with better resources.</t>
  </si>
  <si>
    <t>Policies should consider these proximity dimensions (geographic and non-geographic factors) to design more effective regional health systems.</t>
  </si>
  <si>
    <t>Bower_2020</t>
  </si>
  <si>
    <r>
      <t xml:space="preserve">Evaluating movement of patients with carbapenem-resistant </t>
    </r>
    <r>
      <rPr>
        <i/>
        <sz val="11"/>
        <color theme="1"/>
        <rFont val="Calibri"/>
        <family val="2"/>
        <scheme val="minor"/>
      </rPr>
      <t>Enterobacteriaceae</t>
    </r>
    <r>
      <rPr>
        <sz val="11"/>
        <color theme="1"/>
        <rFont val="Calibri"/>
        <family val="2"/>
        <scheme val="minor"/>
      </rPr>
      <t xml:space="preserve"> infections in the greater Atlanta metropolitan area using social network analysis</t>
    </r>
  </si>
  <si>
    <t>Bower CW; Fridkin DW; Wolford HM; Slayton RB; Kubes JN; Jacob JT; Ray SM; Fridkin SK</t>
  </si>
  <si>
    <t>Clinical Infectious Diseases</t>
  </si>
  <si>
    <t>Infectious Diseases, Microbiology</t>
  </si>
  <si>
    <t>To analyze the spread of carbapenem-resistant Enterobacteriaceae in the Greater Atlanta metropolitan area by studying patient transfer patterns across healthcare facilities</t>
  </si>
  <si>
    <t>Medicare claims data</t>
  </si>
  <si>
    <t>Medicare</t>
  </si>
  <si>
    <t>données d'assurance santé gérée par le gouvernement fédéral des états-unis</t>
  </si>
  <si>
    <t>No information on availibility of data.</t>
  </si>
  <si>
    <t>1 year</t>
  </si>
  <si>
    <t>Hospitals and other healthcare facilities</t>
  </si>
  <si>
    <t>Acute care hospitals ; long-term acute care hospitals, skilled nursing facilities</t>
  </si>
  <si>
    <t>Multicounty (8-county metropolitan Atlanta area, sachant que la métropole d'Atlanta s'étend sur une vingtaine de comtés)</t>
  </si>
  <si>
    <t>United States of America</t>
  </si>
  <si>
    <t>calculated weighted indegree, weighted outdegree, indegree, outdegree, and betweenness but showed only weighted indegree and betweenness ; cluster detection</t>
  </si>
  <si>
    <t>weighted in-degree, weighted out-degree, in-degree, out-degree, betweenness, clustering</t>
  </si>
  <si>
    <t>Multivariable negative binomial regression to predict CRE cases per facility, accounting for patient-days, facility type, and connectivity metrics.</t>
  </si>
  <si>
    <t>Correlation of CRE-derived and Medicare-derived connectivity metrics; Facility-level comparisons of CRE incidence and network centrality.</t>
  </si>
  <si>
    <t>based on CRE cases confirmed via laboratory data (specific database : georgia Emerging Infections Program)</t>
  </si>
  <si>
    <t>pas de construction de modèle de porpagation mais utilisation des données de contamination CRE. construction de 2 réseaux : réseau géénral + réseau spécifique aux patients infectés par des CRE</t>
  </si>
  <si>
    <t>CRE cases originated from nearly all ACHs and LTACHs but only about half of SNFs, with LTACHs showing the highest incidence rates per patient-day.</t>
  </si>
  <si>
    <t>Medicare-derived network metrics could predict facilities central to CRE spread, though some SNFs showed high CRE centrality despite low Medicare-derived centrality.</t>
  </si>
  <si>
    <t>Enhanced infection control measures targeting high-risk SNFs and LTACHs could significantly reduce CRE spread.</t>
  </si>
  <si>
    <t>Xia_2021</t>
  </si>
  <si>
    <t>Effects of incomplete inter-hospital network data on the assessment of transmission dynamics of hospital-acquired infections</t>
  </si>
  <si>
    <t>Xia H ; Horn J ; Piotrowska MJ ; Sakowski K ; Karch A ; Tahir H ; Kretzchmar M ; Mikolajczyk R</t>
  </si>
  <si>
    <t>PLOS Computational Biology</t>
  </si>
  <si>
    <t>Computational Biology</t>
  </si>
  <si>
    <t>To evaluate how incomplete data from hospital networks impacts estimates of network measures and modeled transmission dynamics of hospital-acquired infections, using a SIS model</t>
  </si>
  <si>
    <t>AOK health insurance database</t>
  </si>
  <si>
    <t>AOK databases</t>
  </si>
  <si>
    <t>3 regional German health insurance companies (AOK Bavaria, AOK Lower Saxony, AOK PLUS)</t>
  </si>
  <si>
    <t>AOK Bavaria : 2010-2015 ; AOK Lower Saxony : 2010-2015 ; AOK PLUS : 2011-2016</t>
  </si>
  <si>
    <t>The anonymized insurance data are owned by a third party (AOK Lower Saxony) and authors do not have permission to share them. These data may be requested from: AOK Bavaria, Carl-Wery- Straße 28, 81739 Mu ¨nchen; https://www.aok.de/pk/ bayern/ AOK Lower Saxony: AOK Niedersachsen: Hildesheimer Straße 273, 30519 Hannover; https:// niedersachsen.aok.de/ AOK PLUS, Sternplatz 7, 01067 Dresden; https://www.aok.de/pk/plus/.</t>
  </si>
  <si>
    <t>Direct and Indirect (2 distinct netwokrs)</t>
  </si>
  <si>
    <t>("at least one day between discharge and admission")</t>
  </si>
  <si>
    <t>Hospitals (categorised by size: small, medium, large, pas de détails supplémentaires)</t>
  </si>
  <si>
    <t>Bavaria : 357 hospitals ; Lower Saxony : 211 hospitals ; Saxony and Thuringia: 126 hospitals</t>
  </si>
  <si>
    <t>AOK Bavaria: 2397993 ; AOK Lower Saxony: 1268239 ; AOK PLUS: 1410588</t>
  </si>
  <si>
    <t>Multiregional</t>
  </si>
  <si>
    <t>Bavaria, Lower Saxony, Saxony and Thuringia (3 networks)</t>
  </si>
  <si>
    <t>Germany</t>
  </si>
  <si>
    <t>density, in-/out-degree, in-/out-strength, and closeness centrality. Weighted cosine similarity was used to compare sampled and original networks.</t>
  </si>
  <si>
    <t>density, in-degree, out-degree, in-strength, out-strength, closeness, weighted cosine similarity</t>
  </si>
  <si>
    <t>scale-up methods to simulate missing data</t>
  </si>
  <si>
    <t>Compartmental model</t>
  </si>
  <si>
    <t>SIS</t>
  </si>
  <si>
    <t>MRSA</t>
  </si>
  <si>
    <t>(not explicitely)</t>
  </si>
  <si>
    <t>trouvé dans Piotrowska_2023</t>
  </si>
  <si>
    <t>incomplete data on hospital networks significantly biases network measures (ex degree, closeness) but has less effect on infection àprevalence modeled via the SIS approach</t>
  </si>
  <si>
    <t>infection prevalence estimates remain robust even with data completedness = 10% of the population</t>
  </si>
  <si>
    <t>Scale-up methods improve robustness at high levels of incompleteness but cannot fully compensate for missing network connections.</t>
  </si>
  <si>
    <t>Xia_2024</t>
  </si>
  <si>
    <t>Regional patient transfer patterns matter for the spread of hospital-acquired pathogens</t>
  </si>
  <si>
    <t>Xia H; Horn J; Piotrowska MJ; Sakowski K; Karch A; Kretzschmar M; Mikolajczyk R</t>
  </si>
  <si>
    <t>Nature scientific reports</t>
  </si>
  <si>
    <t>Multidisciplinary</t>
  </si>
  <si>
    <t>To analyze patient transfer networks in 4 German states and assess their role in the spread of hospital-acquired infections, using ESBL-Klebsiella as a case study</t>
  </si>
  <si>
    <t>AOK insurance databases (AOK Bavaria, AOK Lower Saxony, AOK Plus)</t>
  </si>
  <si>
    <t>Hospital discharge records from regional AOK insurance data.</t>
  </si>
  <si>
    <t>Indirect</t>
  </si>
  <si>
    <t>Patients with at least one hospitalization: Bavaria: 7,590,768 patients
Lower Saxony: 4,287,973 patients
Saxony and Thuringia: 3,339,086 patients</t>
  </si>
  <si>
    <t>in strength, out strength</t>
  </si>
  <si>
    <t>in-strength, out-strength</t>
  </si>
  <si>
    <t>ESBL K. pneumoniae</t>
  </si>
  <si>
    <t>Colonization rates and clearance rates were assumed based on literature values.</t>
  </si>
  <si>
    <t>they described a network composed unically of hospitals. + construction of a hospital-community network specifically to model the epidemic spread of the studied pathogen</t>
  </si>
  <si>
    <t>Bergmark_2023</t>
  </si>
  <si>
    <t>Association of hospital centrality in inter-hospital patient-sharing networks with patient mortality and length of stay</t>
  </si>
  <si>
    <t>Bergmark RW; Jin G; Semco RS; Santolini M; Olsen MA; Dhand A</t>
  </si>
  <si>
    <t>PLoS One</t>
  </si>
  <si>
    <t>To foreground the interdependence of hospitals. Specifically to examine relationship of a hospital's network position with in-hospital mortality and length of stay.</t>
  </si>
  <si>
    <t>State Inpatient Database (SID) and State Emergency Department Database (SEDD) from the Healthcare Cost and Utilization Project (HCUP)</t>
  </si>
  <si>
    <t>California and Florida State Inpatient Database (SID) and State Emergency Department Database (SEDD) from the Healthcare Cost and Utilization Project (HCUP)</t>
  </si>
  <si>
    <t>Database developed through a federal-state-industry partnership in the United States of America, and sponsored by AHRQ (Agency for Healthcare Research and Quality)</t>
  </si>
  <si>
    <t>2011 for California ; 2014 for Florida</t>
  </si>
  <si>
    <t>: Data are publicly available from the Healthcare Cost and Utilization Project (https://www.hcup-us.ahrq.gov/databases. jsp) and the American Hospital Association (https:// www.ahadata.com/aha-annual-survey-database). These datasets can be obtained by application to HCUP and AHA.</t>
  </si>
  <si>
    <t>Non-federal acute care hospitals (both teaching and non-teaching hospitals)</t>
  </si>
  <si>
    <t>Florida : 272 ; California : 396</t>
  </si>
  <si>
    <t>Florida : 25 364 ; California : 46 659</t>
  </si>
  <si>
    <t>Florida : 1 246 169 ; California : 1 415 728</t>
  </si>
  <si>
    <t>Multiple networks at the scale of a USA state</t>
  </si>
  <si>
    <t>all pateints 18 or older</t>
  </si>
  <si>
    <t>weighted degree, density, transitivity</t>
  </si>
  <si>
    <t>multilevel logistic regression to determine the association of hospital centrality and inpatient mortality</t>
  </si>
  <si>
    <t>cette étude recosntruit 2 réseaux, en floride et en californie, qui sont complètement séparés.</t>
  </si>
  <si>
    <t>Justice_2022</t>
  </si>
  <si>
    <t>Inferring patient transfer networks between healthcare facilities</t>
  </si>
  <si>
    <t>Justice SA; Sewell DK; Miller AC; Simmering JE; Polgreen PM</t>
  </si>
  <si>
    <t>Health Services and Outcomes Research Methodology</t>
  </si>
  <si>
    <t>To develop and validate an imputation algorithm to estimate accurate patient transfer networks from the Healthcare Cost and Utilization Project (HCUP) State Inpatient Databases (SID) in the presence of missing patient tracking identifiers (VisitLink)</t>
  </si>
  <si>
    <t>HCUP State Inpatient Databases</t>
  </si>
  <si>
    <t>Healthcare Cost and Utilization Project (HCUP) State Inpatient Databases (SID)</t>
  </si>
  <si>
    <t>HCUP SID, à voir</t>
  </si>
  <si>
    <t>California : 2003-2011 ; Iowa: 2009-2015; Nebraska: 2009-2014</t>
  </si>
  <si>
    <t>California : 9 years ; Iowa : 7 years ; Nebraska: 6 years</t>
  </si>
  <si>
    <r>
      <t xml:space="preserve">The patient transfer data used in this study come from the </t>
    </r>
    <r>
      <rPr>
        <b/>
        <sz val="11"/>
        <color theme="1"/>
        <rFont val="Calibri"/>
        <family val="2"/>
        <scheme val="minor"/>
      </rPr>
      <t>Healthcare Cost and Utilization Project (HCUP) State Inpatient Databases (SID)</t>
    </r>
    <r>
      <rPr>
        <sz val="11"/>
        <color theme="1"/>
        <rFont val="Calibri"/>
        <family val="2"/>
        <scheme val="minor"/>
      </rPr>
      <t xml:space="preserve">. These datasets are </t>
    </r>
    <r>
      <rPr>
        <b/>
        <sz val="11"/>
        <color theme="1"/>
        <rFont val="Calibri"/>
        <family val="2"/>
        <scheme val="minor"/>
      </rPr>
      <t>publicly obtainable but require a license for access</t>
    </r>
    <r>
      <rPr>
        <sz val="11"/>
        <color theme="1"/>
        <rFont val="Calibri"/>
        <family val="2"/>
        <scheme val="minor"/>
      </rPr>
      <t>.</t>
    </r>
  </si>
  <si>
    <t xml:space="preserve"> (discharge and admission on the same day)</t>
  </si>
  <si>
    <t>Non-federal hospitals</t>
  </si>
  <si>
    <t>California : 372; Iowa: 116 hospitals; Nebraska: 54 hospitals</t>
  </si>
  <si>
    <t>California: 214,529 transfers (total, corrected for missing data) ;  Iowa: 38,006 transfers ; Nebraska: 20,133 transfers</t>
  </si>
  <si>
    <t>California: 34 045 231 ; Iowa: 2 250 928 ; Nebraska: 1 144 447</t>
  </si>
  <si>
    <t>Multiple hospitals in multiple countries</t>
  </si>
  <si>
    <t>California, Iowa, Nebraska (3 networks)</t>
  </si>
  <si>
    <t>indegree, outdegree, reciprocity</t>
  </si>
  <si>
    <t>in-degree, out-degree, reciprocity</t>
  </si>
  <si>
    <t>Agent-based model</t>
  </si>
  <si>
    <t>ABM</t>
  </si>
  <si>
    <t>Generic pathogen</t>
  </si>
  <si>
    <t>this paper focuses on validating a method to impute missing transfer data rather than analyzing real-world patient transfers comprehensively. Note : explique très bien le fonctionnement du HCUP SID et SEDD</t>
  </si>
  <si>
    <t>the proposed imputation algorithm significantly reduces errors in estimating pateint transfers in the presence of missing identifiers, improving network accuracy</t>
  </si>
  <si>
    <t>correcting for missing patient tracjing data leads to more realistic epidemic simulations</t>
  </si>
  <si>
    <t>importance of accurate patient transfer data for eahtlhcare-associated infection modeling and intervention planning</t>
  </si>
  <si>
    <t>Sewell_2019</t>
  </si>
  <si>
    <r>
      <t xml:space="preserve">Estimating the attributable disease burden and effects of interhospital patient sharing on </t>
    </r>
    <r>
      <rPr>
        <i/>
        <sz val="11"/>
        <color theme="1"/>
        <rFont val="Calibri"/>
        <family val="2"/>
        <scheme val="minor"/>
      </rPr>
      <t xml:space="preserve">Clostridium difficile </t>
    </r>
    <r>
      <rPr>
        <sz val="11"/>
        <color theme="1"/>
        <rFont val="Calibri"/>
        <family val="2"/>
        <scheme val="minor"/>
      </rPr>
      <t>infections</t>
    </r>
  </si>
  <si>
    <t>Sewell DK; Simmering JE; Justice S; Pemmaraju SV; Segre AM; Polgreen PM</t>
  </si>
  <si>
    <t>Infection Control and Hospital Epidemiology</t>
  </si>
  <si>
    <t>Infectious Diseases, Epidemiology</t>
  </si>
  <si>
    <t>To estimate the burden of Clostridium difficile infections (CDIs) due to interfacility patient sharing at regional and hospital levels</t>
  </si>
  <si>
    <t>State Inpatient Database available through the Healthcare Cost and Utilization Project in California</t>
  </si>
  <si>
    <t>administrative database</t>
  </si>
  <si>
    <t>State</t>
  </si>
  <si>
    <t>Averaged</t>
  </si>
  <si>
    <t>indegree (but not outdegree)</t>
  </si>
  <si>
    <t>in-degree</t>
  </si>
  <si>
    <t>monhtly average of CDI cases ~ patient transfer network + median length of stay + median number of diagnoses per inpateint visit + percent of pateints aged over 65 (voir papier pr "quation)</t>
  </si>
  <si>
    <t>Simmering_2015</t>
  </si>
  <si>
    <r>
      <t xml:space="preserve">Hospital transfer network structure as a risk factor for </t>
    </r>
    <r>
      <rPr>
        <i/>
        <sz val="11"/>
        <color theme="1"/>
        <rFont val="Calibri"/>
        <family val="2"/>
        <scheme val="minor"/>
      </rPr>
      <t xml:space="preserve">Clostridium difficile </t>
    </r>
    <r>
      <rPr>
        <sz val="11"/>
        <color theme="1"/>
        <rFont val="Calibri"/>
        <family val="2"/>
        <scheme val="minor"/>
      </rPr>
      <t>infection</t>
    </r>
  </si>
  <si>
    <t>Simmering JE; Polgreen LA; Campbell DR; Cavanaugh JE; Polgreen PM</t>
  </si>
  <si>
    <t>To investigate whether and to what extent the structure of hospital transfer networks influences the burden of CDI at individual hospitals</t>
  </si>
  <si>
    <t>Health Cost and Utilization Project (HCUP) California State Inpatient Database (SID)</t>
  </si>
  <si>
    <t>administrative inpatient discharge data from HCUP</t>
  </si>
  <si>
    <t>9652292 (total patients in the dataset)</t>
  </si>
  <si>
    <t>Quarterly</t>
  </si>
  <si>
    <t>1 network every 3 months (28 networks in total)</t>
  </si>
  <si>
    <t>indegree (number of hospitals sending pateints), weighted indegree (volume of patients transferred in) + community detection to identify clusters of hospitals within the network</t>
  </si>
  <si>
    <t>in-degree, weighted in-degree, community detection</t>
  </si>
  <si>
    <t>Negative binomial regression to assess the relationship between network connectivity (indegree, weighted indegree) and CDI incidence,  adjusted for hospital characteristics (size, median length of stay, age distribution)</t>
  </si>
  <si>
    <t>Han_2019</t>
  </si>
  <si>
    <r>
      <t xml:space="preserve">Whole-Genome sequencing to identify drivers of carbapenem-resistant </t>
    </r>
    <r>
      <rPr>
        <i/>
        <sz val="11"/>
        <color theme="1"/>
        <rFont val="Calibri"/>
        <family val="2"/>
        <scheme val="minor"/>
      </rPr>
      <t>Kelbisella pneumoniae</t>
    </r>
    <r>
      <rPr>
        <sz val="11"/>
        <color theme="1"/>
        <rFont val="Calibri"/>
        <family val="2"/>
        <scheme val="minor"/>
      </rPr>
      <t xml:space="preserve"> transmission within and between regional long-term acute-care hospitals</t>
    </r>
  </si>
  <si>
    <t>Han JH; Lapp Z; Bushman F; Lautenbach E; Goldstein EJC; Mattei L; Hofstaedter CE; Kim D; Nachamkin I; Garrigan C; Jain T; Bilker W; Wolford HM; Slayton RB; Wise J; Tolomeo P; Snitkin ES</t>
  </si>
  <si>
    <t>Antimicrobial Agents and Chemotherapy</t>
  </si>
  <si>
    <t>Infectious Diseases</t>
  </si>
  <si>
    <r>
      <t xml:space="preserve">To identify drivers of regional transmission of Carbapenem-resistant </t>
    </r>
    <r>
      <rPr>
        <i/>
        <sz val="11"/>
        <color theme="1"/>
        <rFont val="Calibri"/>
        <family val="2"/>
        <scheme val="minor"/>
      </rPr>
      <t>Klebsiella pneumoniae</t>
    </r>
    <r>
      <rPr>
        <sz val="11"/>
        <color theme="1"/>
        <rFont val="Calibri"/>
        <family val="2"/>
        <scheme val="minor"/>
      </rPr>
      <t xml:space="preserve"> (CFKP) using whole-genome sequencing (WGS), patient transfer data, and clinical metadata from long-term acute-care hospitals (LTACHs)</t>
    </r>
  </si>
  <si>
    <t>Claims data from the Centers for Medicare &amp; Medicaid Services (CMS). They used only data for the Kindred LTACHs which are evaluated in this study.</t>
  </si>
  <si>
    <t>Claims data from the Centers for Medicare &amp; Medicaid Services (CMS)</t>
  </si>
  <si>
    <t>health insurance?</t>
  </si>
  <si>
    <t>data available with a request and authorization</t>
  </si>
  <si>
    <t>"Less than a prespecified time" but they do not provide additional details</t>
  </si>
  <si>
    <t>Long-term acute-care hospitals, skilled nursing facilities, short-stay hospitals</t>
  </si>
  <si>
    <t>20 (11 from Los Angeles, CA ; 1 from San Diego, CA; 6 from Houston, TX, area ; 2 from Tampa, FL, aera)</t>
  </si>
  <si>
    <t>no metrics used</t>
  </si>
  <si>
    <t>use of whole-genome sequencing to reconstruct inter- and intrafacility transmission patterns</t>
  </si>
  <si>
    <t>use of whole genome sequencing alongside pateint transfer data to understand transmission of a pathogen within and between facilities. WGS was used to iderntify clusters of genetically similar bacteria (indicating possible outbreaks). J'ai mis regional network mais on a pas tous les patients de californie, ce sont tous les patients des LTACHs Kindred en Californie)</t>
  </si>
  <si>
    <t>patient flow strongly drives CRKP transmission across LTACHs, with geographic proximity influencing interfacility transmission rates</t>
  </si>
  <si>
    <t>facilities with higher intrafacility transmission ratios contributed dispropotionately to regional CRKP prevalence (estimation of intrafacility with other techniques than patient transfer)</t>
  </si>
  <si>
    <t>integrating WGS with patient transfer networks can guide precisxion infection prevention strategies targeting high-risk patients and facilities</t>
  </si>
  <si>
    <t>Papp_2021</t>
  </si>
  <si>
    <t>Assessment of patient flow and optimized use of lean thinking transformation from the perspective of graph theory and spectral graph theory: a case study</t>
  </si>
  <si>
    <t>Papp C; Harsanyi S; Gesztelyi R; Emri M; Zsuga J</t>
  </si>
  <si>
    <t>Technology and Health Care</t>
  </si>
  <si>
    <t>Health informatics</t>
  </si>
  <si>
    <t>To reorganize patient pathways by optimizing inpatient assignment and outpatient unit relocation (descirption of the existing patient flow network and proposition of two optimized flow networks)</t>
  </si>
  <si>
    <t>Hospital data from a hospital in Hungary</t>
  </si>
  <si>
    <t>Hospital information system (individual patient level data were given a unique anonymous identifier)</t>
  </si>
  <si>
    <t>Hospital databases</t>
  </si>
  <si>
    <t>no mention of data availibility. Probably not available because it is a hospital information system.</t>
  </si>
  <si>
    <t>Intrafacility</t>
  </si>
  <si>
    <t>Local</t>
  </si>
  <si>
    <t>Hospital or group of hospitals</t>
  </si>
  <si>
    <t>Hungary</t>
  </si>
  <si>
    <t>degree, strength, weighted edge density, betweenness, shortest path analysis using Floyd-Warshall algorithm, normalized diameter, clustering coefficient, small-worldness index, local and global efficiency, assortativity, spectral radius, spectral gap, eigenvector centrality, algebraic connectivity (Laplacian-based metric for network robustness), inverse eigen ratio, bipartiteness, community structure analysis</t>
  </si>
  <si>
    <t>degree, strength, weighted edge density, betweenness, geodesic distance, normalized diameter, global clustering coefficient, small-worldness index, local efficiency, global efficiency, assortativity, spectral radius, spectral gap, eigenvector centrality, connectivity, inverse eigen ratio, bipartiteness, community detection</t>
  </si>
  <si>
    <t>optimization of patient flow with spectral analysis of the weighted adjacency and the Laplacian matrix</t>
  </si>
  <si>
    <r>
      <t>Optimization of patient flow logistics</t>
    </r>
    <r>
      <rPr>
        <sz val="11"/>
        <color theme="1"/>
        <rFont val="Calibri"/>
        <family val="2"/>
        <scheme val="minor"/>
      </rPr>
      <t xml:space="preserve"> significantly reduced the need for patient transfers, decreasing the total transport distance by over </t>
    </r>
    <r>
      <rPr>
        <b/>
        <sz val="11"/>
        <color theme="1"/>
        <rFont val="Calibri"/>
        <family val="2"/>
        <scheme val="minor"/>
      </rPr>
      <t>30%</t>
    </r>
    <r>
      <rPr>
        <sz val="11"/>
        <color theme="1"/>
        <rFont val="Calibri"/>
        <family val="2"/>
        <scheme val="minor"/>
      </rPr>
      <t xml:space="preserve"> and the number of transfer episodes by approximately </t>
    </r>
    <r>
      <rPr>
        <b/>
        <sz val="11"/>
        <color theme="1"/>
        <rFont val="Calibri"/>
        <family val="2"/>
        <scheme val="minor"/>
      </rPr>
      <t>23%</t>
    </r>
    <r>
      <rPr>
        <sz val="11"/>
        <color theme="1"/>
        <rFont val="Calibri"/>
        <family val="2"/>
        <scheme val="minor"/>
      </rPr>
      <t>.</t>
    </r>
  </si>
  <si>
    <r>
      <t>Reorganizing hospital layout</t>
    </r>
    <r>
      <rPr>
        <sz val="11"/>
        <color theme="1"/>
        <rFont val="Calibri"/>
        <family val="2"/>
        <scheme val="minor"/>
      </rPr>
      <t xml:space="preserve"> led to </t>
    </r>
    <r>
      <rPr>
        <b/>
        <sz val="11"/>
        <color theme="1"/>
        <rFont val="Calibri"/>
        <family val="2"/>
        <scheme val="minor"/>
      </rPr>
      <t>greater specialization of buildings</t>
    </r>
    <r>
      <rPr>
        <sz val="11"/>
        <color theme="1"/>
        <rFont val="Calibri"/>
        <family val="2"/>
        <scheme val="minor"/>
      </rPr>
      <t>, with more influential hubs emerging in the network structure.</t>
    </r>
  </si>
  <si>
    <r>
      <t>Graph theory-based analysis</t>
    </r>
    <r>
      <rPr>
        <sz val="11"/>
        <color theme="1"/>
        <rFont val="Calibri"/>
        <family val="2"/>
        <scheme val="minor"/>
      </rPr>
      <t xml:space="preserve"> demonstrated that the optimized hospital network became </t>
    </r>
    <r>
      <rPr>
        <b/>
        <sz val="11"/>
        <color theme="1"/>
        <rFont val="Calibri"/>
        <family val="2"/>
        <scheme val="minor"/>
      </rPr>
      <t>more efficient and synchronized</t>
    </r>
    <r>
      <rPr>
        <sz val="11"/>
        <color theme="1"/>
        <rFont val="Calibri"/>
        <family val="2"/>
        <scheme val="minor"/>
      </rPr>
      <t>, improving system-wide patient flow and reducing redundancies.</t>
    </r>
  </si>
  <si>
    <t>Ohst_2014</t>
  </si>
  <si>
    <r>
      <t xml:space="preserve">The network positions of methicillin resistant </t>
    </r>
    <r>
      <rPr>
        <i/>
        <sz val="11"/>
        <color theme="1"/>
        <rFont val="Calibri"/>
        <family val="2"/>
        <scheme val="minor"/>
      </rPr>
      <t>Stapghylococcus aureus</t>
    </r>
    <r>
      <rPr>
        <sz val="11"/>
        <color theme="1"/>
        <rFont val="Calibri"/>
        <family val="2"/>
        <scheme val="minor"/>
      </rPr>
      <t xml:space="preserve"> affected units in a regional healthcare system</t>
    </r>
  </si>
  <si>
    <t>Ohst J ; Liljeros F ; Stenhem M ; Holme P</t>
  </si>
  <si>
    <t>EPJ Data Science</t>
  </si>
  <si>
    <t>Computational mathematics</t>
  </si>
  <si>
    <t>Mathematics, Statistics</t>
  </si>
  <si>
    <r>
      <t xml:space="preserve">To analyze the network of healthcare units in a regional Swedish hospital system and investigate the relationship between unit centrality and the prevalence of methicillin-reisstant </t>
    </r>
    <r>
      <rPr>
        <i/>
        <sz val="11"/>
        <color theme="1"/>
        <rFont val="Calibri"/>
        <family val="2"/>
        <scheme val="minor"/>
      </rPr>
      <t>Staphylococcus aureus</t>
    </r>
    <r>
      <rPr>
        <sz val="11"/>
        <color theme="1"/>
        <rFont val="Calibri"/>
        <family val="2"/>
        <scheme val="minor"/>
      </rPr>
      <t xml:space="preserve"> (MRSA). The study also evaluates how the movement of MRSA-positive patients through the system affects infection control and outbreak sizes</t>
    </r>
  </si>
  <si>
    <t>Region of stokholm healthcare information system</t>
  </si>
  <si>
    <t>Swedish regional healthcare system database</t>
  </si>
  <si>
    <t>no info on data availibility</t>
  </si>
  <si>
    <t>Network not available</t>
  </si>
  <si>
    <t>Hospital wards, outpatient clinics</t>
  </si>
  <si>
    <t>Intrafacility and interfacility</t>
  </si>
  <si>
    <t>Sweden</t>
  </si>
  <si>
    <t>indegree, outdegree, weighted and unweighted betweenness centrality, PageRank</t>
  </si>
  <si>
    <t>in-degree, out-degree, weighted betweenness, unweighted betweenness, PageRank</t>
  </si>
  <si>
    <t>correlation between MRSA prevalence and network metrics</t>
  </si>
  <si>
    <t>SIR</t>
  </si>
  <si>
    <t>MRSA diagnosis in hospitals</t>
  </si>
  <si>
    <t>to their knowledge, the first network-epidemliological study of the spread of diseases in healthcare systems is Meyers et al., 2003 "Applying Network Theory to Epidemics: Control Measures for Mycoplasma pneumoniae Outbreaks". Cet article n'est pas inclus dans cette revue systématique car les noeuds peuvent être des wards ou des caregivers.</t>
  </si>
  <si>
    <t>the correlations between prevalence and centrality of units were too weak for identifying risk units</t>
  </si>
  <si>
    <t>Donker_2012</t>
  </si>
  <si>
    <t>Hospital Networks and the Dispersal of Hospital-Acquired Pathogens by Patient Transfer</t>
  </si>
  <si>
    <t>Donker T; Wallinga J; Slack R; Grundmann H</t>
  </si>
  <si>
    <t>Assess if the degree of hospital connectedness influences the rates of infections caused by hospital-acquired bacteria</t>
  </si>
  <si>
    <t>NHS Hospital Episode Statistics (HES)</t>
  </si>
  <si>
    <t>NHS HES</t>
  </si>
  <si>
    <t>données adminsitratives de la nhs (comme cnam en France je pense)</t>
  </si>
  <si>
    <t>Non précisé</t>
  </si>
  <si>
    <t>Acute teaching hospitals, large hospitals, medium hospitals, small acute care hospitals</t>
  </si>
  <si>
    <t>England : 146</t>
  </si>
  <si>
    <t>Between hospitals : 617,580 ; Readmissions to same hospital : 4 891 343</t>
  </si>
  <si>
    <t>National</t>
  </si>
  <si>
    <t>England</t>
  </si>
  <si>
    <t>degree ; weighted edge strength ; community structure detection ;infectious relative indegree ; network modularity</t>
  </si>
  <si>
    <t>degree, community detection, network modularity</t>
  </si>
  <si>
    <t>Partial correlation analysis to examine the relationship between MRSA incidence rates and hospital connectedness (IRI).</t>
  </si>
  <si>
    <t>Comparison of MRSA dispersal dynamics in England and the Netherlands.</t>
  </si>
  <si>
    <t>data on incidence rates of MRSA bacteraemia was retrived for the included hospital trusts from the Department of Helath's mandatory surveillance of MRSA bacteraemia as publicly available from thhe HPA and DoH website</t>
  </si>
  <si>
    <t>Hospitals with higher patient transfer connectivity have significantly higher MRSA incidence rates, emphasizing the role of patient movement in the spread of hospital-acquired infections</t>
  </si>
  <si>
    <t>Larger regional hospital clusters show higher MRSA prevalence, indicating that the structure of the hospital referral network itself contributes to pathogen dissemination</t>
  </si>
  <si>
    <t>The English hospital network, being more intrconnected than the Dutch system, facilitates faster and more sustained MRSA transmission, highlighting the need for stronger infection control in highly connected hospitals</t>
  </si>
  <si>
    <t>Donker_2014</t>
  </si>
  <si>
    <t>Dispersal of antibiotic-resistant high-risk clones by hospital networks: changing the patient direction can make all the difference</t>
  </si>
  <si>
    <t>Donker T; Wallinga J; Grundmann H</t>
  </si>
  <si>
    <t>Journal of hospital infection</t>
  </si>
  <si>
    <t>Infectious diseases</t>
  </si>
  <si>
    <t>To assess the influence of changes in referral patterns and network structure on the dispersal of these pathogens</t>
  </si>
  <si>
    <t>(? Pas très clair)</t>
  </si>
  <si>
    <t>community structure detection (same as Donker_2012)</t>
  </si>
  <si>
    <t>community detection</t>
  </si>
  <si>
    <t>étude des patients admis en dehors de leur catchment area</t>
  </si>
  <si>
    <t>The structure of the patient referral network has a profound effect on the epidemic behaviour of high-risk clones</t>
  </si>
  <si>
    <t>Any changes that affect the number of referrals between healthcare collectives, inevitably affect the national dispersal of these pathogens</t>
  </si>
  <si>
    <t>These effects should be taken into account when creating national specialist centres, which may jeopardize control efforts</t>
  </si>
  <si>
    <t>Donker_2017a</t>
  </si>
  <si>
    <t>The relative importance of large problems far away versus small problems closer to home: insights into limiting the spread of antimicrobial in England</t>
  </si>
  <si>
    <t>Donker T; Henderson KL; Hopkins KL; Dodgson AR; Thomas S; Crook DW; Peto TEA; Johnson AP; Woodford N; Walker AS; Robotham JV</t>
  </si>
  <si>
    <t>BMC Medicine</t>
  </si>
  <si>
    <t>Medicine (miscellaneous)</t>
  </si>
  <si>
    <r>
      <t xml:space="preserve">To investigate how pateint transfers across the English hospital network influence the spread of carbapenemase-producing </t>
    </r>
    <r>
      <rPr>
        <i/>
        <sz val="11"/>
        <color theme="1"/>
        <rFont val="Calibri"/>
        <family val="2"/>
        <scheme val="minor"/>
      </rPr>
      <t>Enterobacteriaceae</t>
    </r>
    <r>
      <rPr>
        <sz val="11"/>
        <color theme="1"/>
        <rFont val="Calibri"/>
        <family val="2"/>
        <scheme val="minor"/>
      </rPr>
      <t xml:space="preserve"> (CPE), using referral regions to inform AMR screening strategies</t>
    </r>
  </si>
  <si>
    <t>Acute care hospital trusts</t>
  </si>
  <si>
    <t>degree, closeness, betweenness, metric to calculate shortest path, community structure detection (same as Donker_2012)</t>
  </si>
  <si>
    <t>degree, closeness, betweenness, average path length, community detection</t>
  </si>
  <si>
    <t>In contrast to the focus on import screening based on assigning a few hospitals as ‘high risk’, patient transfers between hospitals with small AMR problems in the same region often pose a larger absolute threat than patient transfers from hospitals in other regions with large problems, even if the prevalence in other regions is orders of magnitude higher</t>
  </si>
  <si>
    <t>Because the difference in numbers of exchanged patients, between and within regions, was mostly larger than the difference in CPE prevalence, it would be more effective for hospitals to focus on their own populations or region to inform control efforts rather than focussing on problems elsewhere.</t>
  </si>
  <si>
    <t>Donker_2017c</t>
  </si>
  <si>
    <t>Measuring distance through dense weighted networks: the case of hospital-associated pathogens</t>
  </si>
  <si>
    <t>Donker T ; Smieszek T ; Henderson KL ; Johnson AP ; Walker AS ; Robotham JV</t>
  </si>
  <si>
    <t>To determine the optimal way to measure the distance between hospitals in dense weighted networks to better understand and control the spread of hospital-associated pathogens</t>
  </si>
  <si>
    <t>Contact matrix avaible in supp material</t>
  </si>
  <si>
    <t>Acute hospital trusts including specialist hospitals</t>
  </si>
  <si>
    <t>à revoir (peut-être 7481*146) (approximé à partir d'autres résultats)</t>
  </si>
  <si>
    <t>United Kingdom</t>
  </si>
  <si>
    <t>degree, closness, betweenness, modularity-maximizing community detection</t>
  </si>
  <si>
    <t>degree, closeness, betweenness, community detection</t>
  </si>
  <si>
    <t>stochastic, discrete-time SIS model</t>
  </si>
  <si>
    <t>trouvé dans Lonc_2019. Exclu de l'équation de recherche car il est écrit "shared patients", qui ne fait pas partie des termes de la deuxième section.</t>
  </si>
  <si>
    <t>weak links in hospital networks can allow pathogens to spread quickly over long distances, bypassing stronger local connections</t>
  </si>
  <si>
    <t>regional coordination in infection prevention is critical to control hospital-associated pathogen outbreaks effe'ctivbely</t>
  </si>
  <si>
    <t>Donker_2019</t>
  </si>
  <si>
    <t>Using hospital-based surveillance for antimicrobial resistance as a more robust alternative to self-reporting</t>
  </si>
  <si>
    <t>Donker T; Smieszek T; Henderson KL; Walker TM; Hope R; Johnson AP; Woodford N; Crook DW; Peto TEA; Walker AS; Robotham JV</t>
  </si>
  <si>
    <t>To propose and evaluate a hospital network-based surveillance system for antimicrobial resistance as an alternative to self-reporting, aiming to provide more reliable incidence estimates</t>
  </si>
  <si>
    <t>Multiple time ranges considered (1 year, 6 months, 3 months, 1 month, one week)</t>
  </si>
  <si>
    <t>NHS hospital trusts (including general and specialist hospitals)</t>
  </si>
  <si>
    <t>1,208,999</t>
  </si>
  <si>
    <t>15,708,764</t>
  </si>
  <si>
    <t>8,681,397</t>
  </si>
  <si>
    <t>Simulation of patient-sharing schemes, using "greedy" and other algorithms, to evaluate the optimal subset of reporting hospitals for coverage of the entire network.</t>
  </si>
  <si>
    <t>Pas de métriques pour analyser le réseau car le focus de l'article est sur leur proposition de système de surveillance, et pour l'illustrer ils reprennent leur ancien réseau</t>
  </si>
  <si>
    <t>network-based surveillance system for AMR can provide robust incidence estimates even with partial hospital participation</t>
  </si>
  <si>
    <t>The proposed system incentivizes hospitals to increase AMR testing and reporting while avoiding the penalties associated with self-reporting.</t>
  </si>
  <si>
    <t>the coverage of the surveillance system can be optimized can be optimized by strategically selecting hospitals based on patient-sharing patterns</t>
  </si>
  <si>
    <t>Ciccolini_2014</t>
  </si>
  <si>
    <t>Efficient surveillance for healthcare-associated infections spreading between hospitals</t>
  </si>
  <si>
    <t>Ciccolini M; Donker T; Grundmann H; Bonten MJ; Woolhouse ME</t>
  </si>
  <si>
    <t>PNAS</t>
  </si>
  <si>
    <t>In the context of HAI that spread between hospitals as a result of patient movements, optimizing the number of sentinel hospitals to reduce time to detection while having a relatively small number of hospitals</t>
  </si>
  <si>
    <t>England : English National Health Service ; Netherlands : Dutch National Medical register</t>
  </si>
  <si>
    <t>England : NHS HES ; Netherlands: Dutch National Medical register</t>
  </si>
  <si>
    <t>England : 2006 ; Netherlands : 2004</t>
  </si>
  <si>
    <t>"indirect transfers, i.e., the instance of a patient being discharged from hospital into the community, and being later admitted to a different hospital"</t>
  </si>
  <si>
    <t>England : acute trusts ; The Netherlands : acute hospitals</t>
  </si>
  <si>
    <t>England : 146 ; Netherlands : 98</t>
  </si>
  <si>
    <t>England : NA ; Netherlands : NA</t>
  </si>
  <si>
    <t>England : 531 977 ; Netherlands : 139620</t>
  </si>
  <si>
    <t>England : ; Netherlands : 1676704 (? Trouvé dans Donker_2010)</t>
  </si>
  <si>
    <t>Multiple networks at the national scale</t>
  </si>
  <si>
    <t>England and Netherlands</t>
  </si>
  <si>
    <t>indegree (nb of hospitals from which a hospital admits moved patients in a 1-y period), in-flux (nb of patients admitted following discharge from other hospital), hospital h index, betweenness, closeness, eigenvector centrality</t>
  </si>
  <si>
    <t>in-degree, in-strength, betweenness, closeness, eigenvector centrality, h index</t>
  </si>
  <si>
    <t>implementation of a sentinel surveillance system with 8 different selection schemes: random selection, highest in-degree, highest in-flux, hospital h index, betweennesss, closeness, eigenvector centrality, gold standard with a "greedy" algorithm</t>
  </si>
  <si>
    <t>(pas explicitement). Par contre, they compare the model's predictions with oserved hospital-level prevalence of EMRSA-15 in England and Wales in 1992 and 1997, which serves as a form of validation + they explore different values for the transmission probability to see how the results apply to pathogens other than MRSA.</t>
  </si>
  <si>
    <t>Strongly connected hospitals have significantly higher MRSA rates, as shown by the positive correlation between IRI and incidence rates.</t>
  </si>
  <si>
    <t>Regional clustering within the hospital network influences MRSA spread, with larger clusters exhibiting higher MRSA rates.</t>
  </si>
  <si>
    <t>The English hospital network is more permeable to MRSA spread than the Dutch network, due to higher patient-sharing rates.</t>
  </si>
  <si>
    <t>Clarke_2018</t>
  </si>
  <si>
    <t>Guiding interoperable electronic health records through patient-sharing networks</t>
  </si>
  <si>
    <t>Clarke JM; Warren LR; Arora S; Barahona M; Darzi AW</t>
  </si>
  <si>
    <t>NPJ digital medicine</t>
  </si>
  <si>
    <t>To identify patient-sharing patterns between hospitals in England and use these pattzerns to propose local and regional data-sharing strategies for better interoperability</t>
  </si>
  <si>
    <t>Hospital Episode Statistics (HES) provided by NHS digital</t>
  </si>
  <si>
    <t>administrative records from care services in England</t>
  </si>
  <si>
    <t>The hospital and LSOA (Lower Layer Super Output Area) constituents of each data-sharing community are available from the authors on request.</t>
  </si>
  <si>
    <t>Acute hospital trusts</t>
  </si>
  <si>
    <t>19682360 (en tout dans la base) / 4162780 went more than once</t>
  </si>
  <si>
    <t>degree, weighted degree (i think it's the name? nb of shared patients between hospitals), modularity (extent to which hospitals form well-defined communities), community detection (Louvain modularity optimization), density</t>
  </si>
  <si>
    <t>degree, weighted degree, modularity, density, community detection,</t>
  </si>
  <si>
    <t>When multiple sites in hospitals, they are analysed collectively and the largest site is used for location</t>
  </si>
  <si>
    <t>patient-sharing between hospitals is extensive and follows clear geographic patterns, forming 10 well-defined data-sharing communtiies</t>
  </si>
  <si>
    <t>a local, community-based approach to hospital interoperability could improve patient information sharing more effectively than a national system</t>
  </si>
  <si>
    <t>hospitals in highly interconnected regions experience more fragmented patient records, increasing the need for targeted interoperability solutions</t>
  </si>
  <si>
    <t>Nekkab_2017</t>
  </si>
  <si>
    <t>Spread of hospital-acquired infections: A comparison of healthcare networks</t>
  </si>
  <si>
    <t>Narimane Nekkab ; Pascal Crépey ; Pascal Astagneau ; Laura Temime</t>
  </si>
  <si>
    <t>Better understand how to reduce the potential scale of HAI epidemic sptread by exploring patient transfer patterns in the French healthcare system</t>
  </si>
  <si>
    <t>Programme de Médicalisation des Systèmes d'Information (PMSI)</t>
  </si>
  <si>
    <t>PMSI</t>
  </si>
  <si>
    <t>Administrative data</t>
  </si>
  <si>
    <t>Access to the PMSI was granted following the criteria set by the CNIL. Due to privacy concerns, the data cannot be publicly shared. Requests for access can be made via demande_base@atih.sante.fr</t>
  </si>
  <si>
    <t>Postoperative and rehabilitation care facilities (SSR - Soins de Suite et de Réadaptation) ; Acute-care hospitals or clinics (MCO - Médecine, Chirurgie, Obstétrique), Hospital centers, Local hospitals, Teaching hospitals (CHU), Nursing homes, Cancer centers, Armed forces hospitals, Long-term care hospitals, Mental health faciltiies, Medical homes for handicapped adults, Home care facilities, Outpatient dialysis centers, Home care or outpatient care for thze handicapped</t>
  </si>
  <si>
    <t>France</t>
  </si>
  <si>
    <t>general network ; suspected-HAI network ; HAI-specific network</t>
  </si>
  <si>
    <t>degree, out-greee, in-degree ; weighted degree ; betweenness ; closeness ; diameter ; average path length ; global clustering coefficient ; density ; modularity</t>
  </si>
  <si>
    <t>number of edges, number of nodes, average degree centrality, average network strength, density, average degree centrality, average in-degree centrality, average out-degree centrality, average betweenness centrality, average closeness centrality, global transitivity, average path length, network diameter, modularity</t>
  </si>
  <si>
    <t>The general patient network structure is consistent across different patient groups and can serve as a reliable proxy for HAI spread modeling.</t>
  </si>
  <si>
    <t>Key hospital hubs and interregional patient transfer patterns were identified, emphasizing their role in potential outbreak propagation and control strategies.</t>
  </si>
  <si>
    <t>Regional and departmental clusters in patient flow suggest the need for targeted, multi-scale infection control strategies</t>
  </si>
  <si>
    <t>Nekkab_2020</t>
  </si>
  <si>
    <r>
      <t>Assessing the role of inter-facility patient transfer in the spread of carbapenemase-producing</t>
    </r>
    <r>
      <rPr>
        <i/>
        <sz val="11"/>
        <color theme="1"/>
        <rFont val="Calibri"/>
        <family val="2"/>
        <scheme val="minor"/>
      </rPr>
      <t xml:space="preserve"> Enterobacteriaceae</t>
    </r>
    <r>
      <rPr>
        <sz val="11"/>
        <color theme="1"/>
        <rFont val="Calibri"/>
        <family val="2"/>
        <scheme val="minor"/>
      </rPr>
      <t>: the case of France between 2012 and 2015</t>
    </r>
  </si>
  <si>
    <t>Nekkab N; Crépey P; Astagneau P; Opatowski L; Temime L</t>
  </si>
  <si>
    <t>Scientific Reports</t>
  </si>
  <si>
    <t>To assess the extent to which patient transfers may have contributed to the transition from regional to inter-regional spread of CPE in France</t>
  </si>
  <si>
    <t>Données de l'assurance maladie française</t>
  </si>
  <si>
    <t>Network not available. However, aggregated network data and figures are available upon request.</t>
  </si>
  <si>
    <t>Hospitals, healthcare centers, long-term care centers including some nursing homes</t>
  </si>
  <si>
    <t>edge weights (=weighted degree?), shortest path distance using Dijkstra's algorithm</t>
  </si>
  <si>
    <t>weighted degree, shortest path distance</t>
  </si>
  <si>
    <t>Carbapenem-Resistant Enterobacterales</t>
  </si>
  <si>
    <t>After testing positive for MRSA, pateints were transferred to less central units, likely as a precautionary measure, reducing the risk of larger outbreak</t>
  </si>
  <si>
    <t>patient turnover (= average number of patients entering the unit per day) was a stronger predictor of outbreak size than static centrality measures, emphasizing the importance of monitoring dynamic patient movement</t>
  </si>
  <si>
    <t>a more structured patient flow could help compartementalize infections and recude outbreak sizes</t>
  </si>
  <si>
    <t>Chrusciel_2021</t>
  </si>
  <si>
    <t>Making sense of the French public hospital system: a network-based approach to hospital clustering using unsupervised learning methods</t>
  </si>
  <si>
    <t>Chrusciel J; Le Guillou A; Daoud E; Laplanche D; Steunou S; Clément MC; Sanchez S</t>
  </si>
  <si>
    <t>To identify clusters of French public hospitals based on their characteristics and their role in the hospital network, and to describe patterns of patient mobility using unsupervised learning and social network analysis</t>
  </si>
  <si>
    <t>PMSI (pas précisé dans l'aritlce mais trouvé via numéro d'autorisation d'utilisation des données PMSI)</t>
  </si>
  <si>
    <t>données administratives PMSI</t>
  </si>
  <si>
    <r>
      <t xml:space="preserve">The data are </t>
    </r>
    <r>
      <rPr>
        <b/>
        <sz val="11"/>
        <color theme="1"/>
        <rFont val="Calibri"/>
        <family val="2"/>
        <scheme val="minor"/>
      </rPr>
      <t>not publicly available</t>
    </r>
    <r>
      <rPr>
        <sz val="11"/>
        <color theme="1"/>
        <rFont val="Calibri"/>
        <family val="2"/>
        <scheme val="minor"/>
      </rPr>
      <t xml:space="preserve"> due to legal restrictions under the </t>
    </r>
    <r>
      <rPr>
        <b/>
        <sz val="11"/>
        <color theme="1"/>
        <rFont val="Calibri"/>
        <family val="2"/>
        <scheme val="minor"/>
      </rPr>
      <t>MR005 legal framework</t>
    </r>
    <r>
      <rPr>
        <sz val="11"/>
        <color theme="1"/>
        <rFont val="Calibri"/>
        <family val="2"/>
        <scheme val="minor"/>
      </rPr>
      <t xml:space="preserve">, but </t>
    </r>
    <r>
      <rPr>
        <b/>
        <sz val="11"/>
        <color theme="1"/>
        <rFont val="Calibri"/>
        <family val="2"/>
        <scheme val="minor"/>
      </rPr>
      <t>aggregated and anonymized data</t>
    </r>
    <r>
      <rPr>
        <sz val="11"/>
        <color theme="1"/>
        <rFont val="Calibri"/>
        <family val="2"/>
        <scheme val="minor"/>
      </rPr>
      <t xml:space="preserve"> may be requested with permission from the </t>
    </r>
    <r>
      <rPr>
        <b/>
        <sz val="11"/>
        <color theme="1"/>
        <rFont val="Calibri"/>
        <family val="2"/>
        <scheme val="minor"/>
      </rPr>
      <t>Agence Technique de l’Information sur l’Hospitalisation (ATIH)</t>
    </r>
  </si>
  <si>
    <t>90 days</t>
  </si>
  <si>
    <t>Hospitals practicing medicine, surgery and obstetrics</t>
  </si>
  <si>
    <t>degree (directed and undirected), assortativity, transitivity, edge density.</t>
  </si>
  <si>
    <t>degree, in-degree, out-degree, assortativity, transitivity, density</t>
  </si>
  <si>
    <t>clustering analysis (k-means clustering), mobility patterns</t>
  </si>
  <si>
    <t>excludes overseas territories</t>
  </si>
  <si>
    <t>french public hospitals cluster into three main groups with distinct roles: large hospitals (specialized care), medium-sized hospitals (geenral care), smaller hospitals(localized care with higher patient mobility)</t>
  </si>
  <si>
    <t>patient mobility is predominantly directed toward larger hospitals, indicating an unbalanced, centralized network structure</t>
  </si>
  <si>
    <t>regional hospital groups do not necessarily align with observed patient mobility patterns, suggesting a need for better integration</t>
  </si>
  <si>
    <t>Tang_2020</t>
  </si>
  <si>
    <t>Do Chinese hospital services constitute an oligopoly? Evidence of the rich-club phenomenon in a patient referral network</t>
  </si>
  <si>
    <t>Tang, C.; Dong, X.; Lian, Y.; Tang, D.</t>
  </si>
  <si>
    <t>Future Generation Computer Systems</t>
  </si>
  <si>
    <t>Computer Science</t>
  </si>
  <si>
    <t>To investigate the rich-club phenomenon in the Chinese patient referral network and assess the dominance of Class-III hospitals, providing evidence of an oligopoly in healthcare services</t>
  </si>
  <si>
    <t>New Cooperative Medical System (NCMS) dataset</t>
  </si>
  <si>
    <t>New Cooperative Medical System dataset, China</t>
  </si>
  <si>
    <t>NCMS healthcare reform program</t>
  </si>
  <si>
    <t>No specifications on whether the data is available.</t>
  </si>
  <si>
    <t>10 days</t>
  </si>
  <si>
    <t>Class-I hospitals (Basic preventive care, minimal health services, rehabilitation, &lt;100 beds)
Class-II hospitals (Comprehensive health services, regional medical education, 100–500 beds)
Class-III hospitals (Specialist hospitals, medical research hubs, &gt;500 beds)</t>
  </si>
  <si>
    <t>China</t>
  </si>
  <si>
    <t>Degree distribution, Weighted degree distribution, Global rich-club coefficients to identify dominant hospitals, Local rich-club coefficient to measure individual hospital connections with elite hospitals; Assortativity coefficient to analyze hospital-hospital connectivity patterns; Community detection with Louvain modularity optimization</t>
  </si>
  <si>
    <t>degree, weighted degree, global rich-club coefficient, local rich-club coefficient, assortativity, community detection</t>
  </si>
  <si>
    <t>China’s hospital referral network exhibits a strong "rich-club" effect, dominated by a few elite Class-III hospitals.</t>
  </si>
  <si>
    <t>The two-way referral mechanism intended to balance patient distribution has not been effective, as patients still overwhelmingly prefer top-tier hospitals.</t>
  </si>
  <si>
    <t>Regional clustering plays a significant role in referral patterns, as hospitals in the same province tend to form tightly connected communities.</t>
  </si>
  <si>
    <t>Ray_2016</t>
  </si>
  <si>
    <t>Spread of carbapenem-resistant Enterobacteriaceae among Illinois healthcare facilities: the role of patient sharing</t>
  </si>
  <si>
    <t>Ray MJ; Lin MY; Weinstein RA; Trick WE</t>
  </si>
  <si>
    <t>Determine whether greater connectedness (centrality) to other healthcare faciltiies and greater pateint sharing with long-term acute care hospitals (LTACHs) predicted higher facility CRE rates.</t>
  </si>
  <si>
    <t>IDPH hospital discharge dataset</t>
  </si>
  <si>
    <t>Illinois department of public health hospital discharge dataset</t>
  </si>
  <si>
    <t>hospital database</t>
  </si>
  <si>
    <t>0.25</t>
  </si>
  <si>
    <t>The data is available with an access authorization</t>
  </si>
  <si>
    <t>Short-term acute care hospitals, long-term acute care hospitals</t>
  </si>
  <si>
    <t>State (Illinois)</t>
  </si>
  <si>
    <t>Illinois</t>
  </si>
  <si>
    <t>degree, eigenvector (importance of a hospital based on connections to highly connected hospitals)</t>
  </si>
  <si>
    <t>degree, eigenvector centrality</t>
  </si>
  <si>
    <t>modèle statistique, régression du nb de facility-level CRE cases per 10 000 pateint-days en fonction du degree, eigenvector, nb of beds, nb of patients shared with LTACHs</t>
  </si>
  <si>
    <t>Hospitals with higher degree centrality had significantly higher CRE (Carbapenem-resistant Enterobacteriaceae) rates, indicating that patient-sharing plays a key role in pathogen spread.</t>
  </si>
  <si>
    <t>The effect of hospital connectedness on CRE rates was stronger in rural areas, highlighting potential disparities in infection control measures.</t>
  </si>
  <si>
    <t>Long-term acute care hospitals (LTACHs) acted as hubs for CRE transmission, reinforcing their role in regional pathogen dissemination and the need for targeted interventions.</t>
  </si>
  <si>
    <t>Ray_2018</t>
  </si>
  <si>
    <t>Regional spread of an outbreak of carbapenem-resistant Enterobacteriaceae through an ego network of healthcare facilities</t>
  </si>
  <si>
    <t>Ray MJ; Lin MY; Tang AS; Arwady MA; Lavin MA; Runningdeer E; Jovanov D; Trick WE</t>
  </si>
  <si>
    <t>Explore the regional propagation of an outbreak of carbapenem-resistant Enterobacteriaceae by a network of connected hospitals, by reconstructing ego networks</t>
  </si>
  <si>
    <t>réseau complet. Ego network (seuil de 50 pateints partagés) : 22</t>
  </si>
  <si>
    <t>degree, ego network analysis (identifying facilities most connected to a central hospital)</t>
  </si>
  <si>
    <t>degree</t>
  </si>
  <si>
    <t>Corrélation entre partage de patients et cas de CRE signalés.</t>
  </si>
  <si>
    <t>Comparaison entre réseau ego et proximité géographique (test de Wilcoxon).</t>
  </si>
  <si>
    <t>Ego network analysis successfully predicted which hospitals outbreak patients would visit next, helping identify high-risk facilities.</t>
  </si>
  <si>
    <t>Hospitals with strong patient-sharing ties to an outbreak hospital were significantly more likely to report additional cases of NDM-producing E. coli.</t>
  </si>
  <si>
    <t>Using ego networks could improve public health responses by prioritizing interventions in hospitals most likely to receive infected patients.</t>
  </si>
  <si>
    <t>Caimo_2017</t>
  </si>
  <si>
    <t>Bayesian exponential random graph modelling of intehrospital patient referral networks</t>
  </si>
  <si>
    <t>Caimo A; Pallotti F; Lomi A</t>
  </si>
  <si>
    <t>Creating and analysing Bayesian exponential random graph models, with the application of patient referral relations among hospitals</t>
  </si>
  <si>
    <t>Italian National Health Service = a publicly funded healthcare system providing universal coverage free of charge at the point of service</t>
  </si>
  <si>
    <t>Italy's Servizio Sanitario Nazionale (SSN)</t>
  </si>
  <si>
    <t>Données de l'assurance maladie qui couvre toute la population italienne</t>
  </si>
  <si>
    <t>The data are publicly available ("Using publicly available data on transferred patients during the year 2007")</t>
  </si>
  <si>
    <t>"A patient referral typically occurs when (in)patients discharged from one (sender) hospital are admitted to another (receiver) hospital"</t>
  </si>
  <si>
    <t>LHU hospital, hospital trust, university hospital, hospital of the National Institute for Scientific Research, Classified hospital, Private accredited hospital</t>
  </si>
  <si>
    <t>Lazio</t>
  </si>
  <si>
    <t>density, mutuality, average path length, clustering coefficient, average path length, 2-in-star statistic (tendency of nodes to cluster together), 2-out star statistic (tendency of nodes to send multiple referrals), mixed 2 star statistic (measures correlation between incoming and outgoing referrals, Geometrically Weighted In-Degree (distribution of in-degree tendencies), Geometrically Weighted Out-degree (distribution of out-degree tendencies), Geometrically Weighted Non-Edgewise Shared Partners (measuring indirect network ties), Geometrically weighted edgewise shared partners (captures network closure through sqhared partners)</t>
  </si>
  <si>
    <t>density,  reciprocity, average geodesic distance, global clustering coefficient, 2-in star statistic, 2-out star statistic, mixed 2-star statistic, weighted in-degree, weighted out-degree, weighted non-edgewise shared partners, weighted edgewise shared partners</t>
  </si>
  <si>
    <t>bayesian exponential random graph modelling</t>
  </si>
  <si>
    <t>Patient referrals in Lazio exhibit a high level of reciprocity and clustering, suggesting that hospital collaborations form cohesive and closed structures.</t>
  </si>
  <si>
    <t>Hospitals with higher capacity (beds, occupancy rates) and closer proximity are more likely to exchange patients, emphasizing the importance of organizational and geographic factors.</t>
  </si>
  <si>
    <r>
      <t>Bayesian ERGMs effectively capture complex interhospital referral patterns, allowing for nuanced insights into healthcare collaboration dynamics</t>
    </r>
    <r>
      <rPr>
        <sz val="11"/>
        <color theme="1"/>
        <rFont val="Calibri"/>
        <family val="2"/>
        <scheme val="minor"/>
      </rPr>
      <t>​</t>
    </r>
  </si>
  <si>
    <t>Lomi_2012</t>
  </si>
  <si>
    <t>Relational collaboration among spatial multipoint competitors</t>
  </si>
  <si>
    <t>Lomi A ; Pallotti F</t>
  </si>
  <si>
    <t>Social Networks</t>
  </si>
  <si>
    <t>To investigate how spatial multipoint contact (=competeition or interaction in multiple geographical locations at the same time) among hispitals influences the formation of collaborative networks, focusing on patient transfer relations</t>
  </si>
  <si>
    <t>Agency of Public health of Italy / Department of Public Health, Catholic University of Rome</t>
  </si>
  <si>
    <t>Lazio healthcare information system</t>
  </si>
  <si>
    <t>Not specified</t>
  </si>
  <si>
    <t>LHU hospitals, hospital trusts, university hospitals, hospitals of the National Institute for Scientific Research, Classified hospitals, Private accredited hospitals</t>
  </si>
  <si>
    <t>density, reciprocity, mixed 2 star, popularity spread, activity spread, path closure, cyclic closure, activity-based closure, popularity-based closure, multiple connectivity (tendency to establish multiple indirect connections between hospitals)​</t>
  </si>
  <si>
    <t>density, reciprocity, mixed 2-star statistic, popularity spread, activity spread, cyclic closure, activity-based closure</t>
  </si>
  <si>
    <t>Modèles de graphes aléatoires exponentiels (ERGM) pour examiner les effets des contacts multipoints et d'autres facteurs sur la probabilité d'observer des liens de transfert.</t>
  </si>
  <si>
    <t>trouvé dans Lomi_2014</t>
  </si>
  <si>
    <t>ils conidèrent que les hôpitaux sont des multipoint comeptitors quand ils rely on the same area of patients</t>
  </si>
  <si>
    <t>Hospitals competing across multiple geographic market segments are significantly more likely to establish collaborative transfer relationships.</t>
  </si>
  <si>
    <t>The hospital transfer network demonstrates a core-periphery structure, shaped by mechanisms of triadic and cyclic closure.</t>
  </si>
  <si>
    <t>Competition dynamics, including spatial proximity and market overlap, play a central role in structuring interhospital collaborations</t>
  </si>
  <si>
    <t>Berta_2022</t>
  </si>
  <si>
    <t>The association between hospital cooperation and the quality of healthcare</t>
  </si>
  <si>
    <t>Berta, P.; Vinciotti, V.; Moscone, F.</t>
  </si>
  <si>
    <t>Regional studies</t>
  </si>
  <si>
    <t>To study the determinants of patient transfers and assess their association with hospital quality in Lombardy, Italy</t>
  </si>
  <si>
    <t>Administrative healthcare information system of Lombardy</t>
  </si>
  <si>
    <t>Lombardy healthcare information system</t>
  </si>
  <si>
    <t>Administrative dataset of the Lombardy region</t>
  </si>
  <si>
    <t>definition of direct transfer : second stay the same day or next day</t>
  </si>
  <si>
    <t>Public hospitals and private hospitals accredited with the regional healthcare system</t>
  </si>
  <si>
    <t>145 hospitals</t>
  </si>
  <si>
    <t>1,541,996</t>
  </si>
  <si>
    <t>"over 900,000"</t>
  </si>
  <si>
    <t>Lombardy</t>
  </si>
  <si>
    <t>degree ; strength(=weighted degree), closeness, betweenness ; community detection to identify clusters of hospitals based on transfer patterns</t>
  </si>
  <si>
    <t>degree, weighted degree, closeness centralization, betweenness centralization, community detection</t>
  </si>
  <si>
    <t>Over-dispersed Poisson mixed model to predict patient flows using hospital characteristics and network structure.</t>
  </si>
  <si>
    <t xml:space="preserve">descriptive analyses to explore the erlationship between patient trasnfers and hospital quality </t>
  </si>
  <si>
    <t>Hospital cooperation through patient transfers is positively associated with overall hospital quality (measured by reduced mortality and readmission rates).</t>
  </si>
  <si>
    <t>Public hospitals are more engaged in patient transfers than private hospitals, and cooperation benefits are more pronounced in public hospitals.</t>
  </si>
  <si>
    <t>Geographical proximity and hospital centrality strongly influence transfer patterns, suggesting the need for region-specific transfer protocols.</t>
  </si>
  <si>
    <t>Bean_2017</t>
  </si>
  <si>
    <t>Network analysis of patient flow in two UK acute care hospitals identifies key sub-networks for A&amp;E performance</t>
  </si>
  <si>
    <t>Bean DM; Stringer C; Beeknoo N; Teo J; Dobson RJB</t>
  </si>
  <si>
    <t>Compare network flow during periods of high performance and low performance</t>
  </si>
  <si>
    <t>Patient Administration System (PAS) at two acute care hospitals</t>
  </si>
  <si>
    <t>Hospital data from 2 acute care hospitals</t>
  </si>
  <si>
    <t>Hospital records</t>
  </si>
  <si>
    <t>1.58</t>
  </si>
  <si>
    <t>The full dataset can be accessed by request to the Caldicott Guardian, King’s College Hospital NHS Foundation Trust research office (william.bernal@nhs.net) subject to local information governance regulatory framew</t>
  </si>
  <si>
    <t>London</t>
  </si>
  <si>
    <t>Weekly</t>
  </si>
  <si>
    <t>indegree, outdegree, edge weight variability score, clustering using this score</t>
  </si>
  <si>
    <t>in-degree, out-degree, edge weight variability score, clustering</t>
  </si>
  <si>
    <t>Belik_2016</t>
  </si>
  <si>
    <t>Control of epidemics on hospital networks</t>
  </si>
  <si>
    <t>Belik, V.; Hövel, P.; Mikolajczyk, R.</t>
  </si>
  <si>
    <t>Control of Self-Organizing Nonlinear Systems (book)</t>
  </si>
  <si>
    <t>Book</t>
  </si>
  <si>
    <t>Other (book)</t>
  </si>
  <si>
    <t>To analyze patient transfer patterns across a hospital network in Germany and evaluate the impact of screening and isolation as control measures for pathogen spread using an agent-based computational model</t>
  </si>
  <si>
    <t>AOK Lower Saxony</t>
  </si>
  <si>
    <t>health insurance data</t>
  </si>
  <si>
    <t>2009*</t>
  </si>
  <si>
    <t>Data not publicly available</t>
  </si>
  <si>
    <t>Not said in the text but according to figure 22.5, 3 years = durée de l'étude</t>
  </si>
  <si>
    <t>1654 (no mention of filter like Belik_2017)</t>
  </si>
  <si>
    <t>3400*52*3 relocations including 33000 direct transfers (approximation via le texte)</t>
  </si>
  <si>
    <t>Approximately 2 million</t>
  </si>
  <si>
    <t>Approximately 918000</t>
  </si>
  <si>
    <t>Lower Saxony</t>
  </si>
  <si>
    <t>degree, in degree, out degree, modular structure of the network using the louvain algorithm (=modularity)</t>
  </si>
  <si>
    <t>degree, in-degree, out-degree, modularity</t>
  </si>
  <si>
    <t>sensitivity analysis of screening rates and their effect on prevalence reduction</t>
  </si>
  <si>
    <t>random screening of a fraction of incoming patients (in the cae of a positive screening test, the patient is isolated and cured before admission to the hospital)</t>
  </si>
  <si>
    <t>random screening of a fraction of incoming patients with decolonization and isolation of positive patients</t>
  </si>
  <si>
    <r>
      <t>The study is a proof-of-concept</t>
    </r>
    <r>
      <rPr>
        <sz val="11"/>
        <color theme="1"/>
        <rFont val="Calibri"/>
        <family val="2"/>
        <scheme val="minor"/>
      </rPr>
      <t>, showing how network-based modeling can guide epidemic control measures.</t>
    </r>
    <r>
      <rPr>
        <b/>
        <sz val="11"/>
        <color theme="1"/>
        <rFont val="Calibri"/>
        <family val="2"/>
        <scheme val="minor"/>
      </rPr>
      <t xml:space="preserve"> + Hospital network structure is crucial for understanding pathogen dynamics, and interventions should be tailored accordingly. </t>
    </r>
    <r>
      <rPr>
        <sz val="11"/>
        <color theme="1"/>
        <rFont val="Calibri"/>
        <family val="2"/>
        <scheme val="minor"/>
      </rPr>
      <t>* retrouvé à partir de Belik_2017</t>
    </r>
    <r>
      <rPr>
        <b/>
        <sz val="11"/>
        <color theme="1"/>
        <rFont val="Calibri"/>
        <family val="2"/>
        <scheme val="minor"/>
      </rPr>
      <t>. The egenric pathogen is antibioresistant</t>
    </r>
  </si>
  <si>
    <t>Belik_2017</t>
  </si>
  <si>
    <t>Leveraging topological and temporal structure of hospital referral networks for epidemic control</t>
  </si>
  <si>
    <t>Belik, V.; Karch, A ; Hövel, P.; Mikolajczyk, R.</t>
  </si>
  <si>
    <t>Temporal network epidemiology (book)</t>
  </si>
  <si>
    <t>To analyze patient referral patterns in a large German region and evaluate the impact of hospital referral networks on epidemic dynamics using deterministic and agent-based models</t>
  </si>
  <si>
    <t>(construction of 2 networks : H-network = direct network + C-network = indirect network)</t>
  </si>
  <si>
    <t>"included if the duration of the community stay is less than the infectious period", they use a generic pathogen so i think they tested multiple infectious periods</t>
  </si>
  <si>
    <t>1654 initially, after filtering: 185 hospitals</t>
  </si>
  <si>
    <t>Sur les 3 ans: 67000 transferts dont 3% de transferts directs. En moyenne 61+-22 transferts par jour</t>
  </si>
  <si>
    <t>2 037 460</t>
  </si>
  <si>
    <t>917 834</t>
  </si>
  <si>
    <t>Daily</t>
  </si>
  <si>
    <t>1 network every day (so 1099 networks). They also reconstructed a static aggregated network.</t>
  </si>
  <si>
    <t>In-degree (number of incoming patient transfers per hospital), Out-degree (number of outgoing patient transfers per hospital), Edge activity (number of times a specific transfer occurs), Out-component size (number of hospitals reachable from a given hospital, considering temporal order), Jaccard coefficient (overlap between networks considering direct and indirect transfers), Causal fidelity (importance of temporal information compared to static aggregation), Accessibility matrix density (probability of reaching a node over time), Entropy of rank distributions (diversity in hospital rankings based on infection spread potential)</t>
  </si>
  <si>
    <t>in-degree, out-degree, edge activity, out-component size, Jaccard similarity, density</t>
  </si>
  <si>
    <t xml:space="preserve">nombre de transferts selon les jours de la semaine, comparaison des réseaux statique et dynamique </t>
  </si>
  <si>
    <t>random screening of 50% of incoming patients and subsequent decolonization and isolation for high out-degree hospitals, random screening of 50% of incoming patients and subsequent decolonization and isolation for high in-degree hospitals</t>
  </si>
  <si>
    <t>found in references of Xia_2021</t>
  </si>
  <si>
    <t>a purely static network would incorrectly estimate transmission risk by assuming all transfer links exist at all times</t>
  </si>
  <si>
    <t>Piotrowska_2020b</t>
  </si>
  <si>
    <t>Modelling pathogen spread in a healthcare network: indirect patient movements</t>
  </si>
  <si>
    <t>Piotrowska MJ; Sakowski K; Karch A; Tahir H; Horn J; Kretzschmar ME; Mikolajczyk R</t>
  </si>
  <si>
    <t>To study the contribution of indirect transfers to the spread of MDR pathogens in a healthcare network + To develop a hybrid network-deterministic model incorporating both direct and indirect transfers + To quantify the impact of indirect transfers on pathogen prevalence</t>
  </si>
  <si>
    <t>AOK Lower Saxony and AOK Plus</t>
  </si>
  <si>
    <t>German health insurance database</t>
  </si>
  <si>
    <t>2733286 (direct : 157142 = 6% ; indirect transfers : 2546143 = 94%, including 1,648,400 auto-transfers). Pas de déf précise de ce qu'est un auto transfer dans le papier maisà mon avis, transfert dans le même établissement</t>
  </si>
  <si>
    <t>degree, indegree, outdegree ; community-node sizes</t>
  </si>
  <si>
    <t>degree, in-degree, out-degree, community-node sizes</t>
  </si>
  <si>
    <r>
      <t xml:space="preserve">Sensitivity analysis of </t>
    </r>
    <r>
      <rPr>
        <b/>
        <sz val="11"/>
        <color theme="1"/>
        <rFont val="Calibri"/>
        <family val="2"/>
        <scheme val="minor"/>
      </rPr>
      <t>length of stay, transfer probabilities, and pathogen parameters</t>
    </r>
    <r>
      <rPr>
        <sz val="11"/>
        <color theme="1"/>
        <rFont val="Calibri"/>
        <family val="2"/>
        <scheme val="minor"/>
      </rPr>
      <t>.</t>
    </r>
  </si>
  <si>
    <t>they used patient discharge data to build a transfer probability matrix to simulate pateint movement within the network. No direct network reconstruction from observed transfer data. + limits : the model is based on insurance data; does not include microbiological validation</t>
  </si>
  <si>
    <t>indirect transfers account for ~94% of patient movements and increase pathogen prevalence significantly (from 4.2% to 18%)</t>
  </si>
  <si>
    <t>higher patient turnover (shorter length of stay) reduces pathogen prevalence ; hospitals with longer stays have higher colonization rates</t>
  </si>
  <si>
    <t>excluding indirect transfers leads to underestimation of pathogen spread, highlighting their critical role in healthcare networks dynamics</t>
  </si>
  <si>
    <t>Piotrowska_2020a</t>
  </si>
  <si>
    <t>Impact of inter-hospital transfers on the prevalence of resistant pathogens in a hospital-community system</t>
  </si>
  <si>
    <t>Piotrowska MJ; Sakowski K; Lonc A; Tahir H; Kretzschmar ME</t>
  </si>
  <si>
    <t>Epidemics</t>
  </si>
  <si>
    <t>Epidemiology, Infectious Diseases</t>
  </si>
  <si>
    <t>To analyze the impact of inter-hospital patient transfers on the prevalence of resistant pathogens within a hospital-community system using a mathematical modeling approach</t>
  </si>
  <si>
    <t>health insurance datasets</t>
  </si>
  <si>
    <t>AOK Lower Saxony : 2008-2015 ; AOK Plus : 2010-2016</t>
  </si>
  <si>
    <t>AOK Lower Saxony: 8 years, AOK Plus: 7 years</t>
  </si>
  <si>
    <t>Lower Saxony: 223; Saxony: 88; Thuryngia: 46</t>
  </si>
  <si>
    <t>5,254,492 (AOK Lower Saxony), 4,826,823 (AOK Plus).</t>
  </si>
  <si>
    <t>Lower Saxony, Savony, Thuringia (2 networks)</t>
  </si>
  <si>
    <t>no; general population covered by the health insurance</t>
  </si>
  <si>
    <t>indegree, outdegree, diameter, radius, average degree, shortest path</t>
  </si>
  <si>
    <t>in-degree, out-degree,  network diameter, radius, average degree centrality, shortest path</t>
  </si>
  <si>
    <t>MDR Enterobacterales</t>
  </si>
  <si>
    <t>1. increasing screening and decolonization at hospital admission 2. modifying patient transfer patterns</t>
  </si>
  <si>
    <t>random screening of a fraction of incoming patients with decolonization and isolation of positive patients, modifying patient transfer patterns</t>
  </si>
  <si>
    <t>2 networks : one for saxony and thuringia and one for lower saxony</t>
  </si>
  <si>
    <t>high-prevalence hospitals act as reservoirs, spreading resistant pathogens to low-prevalence hospitals</t>
  </si>
  <si>
    <t>increasing inter-hospitakl pateitn trasnfers tends to dilute prevalence rather than increase it</t>
  </si>
  <si>
    <t>screening at admission and re'ducing readmissions can help lower prevalence in affected hospitals</t>
  </si>
  <si>
    <t>Tun_2021</t>
  </si>
  <si>
    <r>
      <t xml:space="preserve">Ward-level factors associated with methicillin-resistant </t>
    </r>
    <r>
      <rPr>
        <i/>
        <sz val="11"/>
        <color theme="1"/>
        <rFont val="Calibri"/>
        <family val="2"/>
        <scheme val="minor"/>
      </rPr>
      <t>Staphylococcus aureus</t>
    </r>
    <r>
      <rPr>
        <sz val="11"/>
        <color theme="1"/>
        <rFont val="Calibri"/>
        <family val="2"/>
        <scheme val="minor"/>
      </rPr>
      <t xml:space="preserve"> acquisition - an electronic medical records study in Singapore</t>
    </r>
  </si>
  <si>
    <t>Tun ZM; Fisher DA; Salmon S; Tam CC</t>
  </si>
  <si>
    <t>To investigate the role of ward characteristics and patient transfer connectivity in MRSEA acquisition rates in a Singapore tertiary hospital</t>
  </si>
  <si>
    <t>Patient Affordability Simulation System, originated from the National University Hospital Electronic Medical Records (NUH EMR) in Singapore</t>
  </si>
  <si>
    <t>Hospital electronic medical records</t>
  </si>
  <si>
    <t>"a datamart within Singapore regional health system database" no additional info</t>
  </si>
  <si>
    <t>1 tertiary hospital with inpatient wards</t>
  </si>
  <si>
    <t>Local (1hospital)</t>
  </si>
  <si>
    <t>Singapore</t>
  </si>
  <si>
    <t>wieghted indegree ; in-degree</t>
  </si>
  <si>
    <t>weighted in-degree, in-degree</t>
  </si>
  <si>
    <t>Mixed-effects Poisson regression to model MRSA acquisition as a function of ward-level factors (e.g., MRSA prevalence, patient transfers).</t>
  </si>
  <si>
    <t>Sensitivity analyses to account for missing MRSA screening data and its effect on model results.</t>
  </si>
  <si>
    <t>Wards with higher MRSA prevalence among patients transferred from other wards were more likely to have higher MRSA acquisition rate</t>
  </si>
  <si>
    <t>Its effect further increased in wards receiving 'greater number of patients.</t>
  </si>
  <si>
    <t>In addition, critical care ward, presence of MRSA cohorting beds, ward specialty, and median length of stay were associated with MRSA acquisition.</t>
  </si>
  <si>
    <t>Donker_2010</t>
  </si>
  <si>
    <t>Patient Referral Patterns and the Spread of Hospital-Acquired Infections through National Health Care Networks</t>
  </si>
  <si>
    <t>Tjibbe Donker ; Jacco Wallinga ; Hajo Grundmann</t>
  </si>
  <si>
    <t>To evaluate how patient referral patterns in the Dutch national healthcare network influence the spread of hospital-acquired infections like MRSA.</t>
  </si>
  <si>
    <t>Dutch medical registration (Landelijke Medische Registratie LMR)</t>
  </si>
  <si>
    <t>Landelijke Medische Registratie (LMR)</t>
  </si>
  <si>
    <t>for privacy protection, they could not use the data at individual record level for detailed analysis. They used a simulated dataset based on the recorded frequencies which descrines the individual patient referral patterns that is consistent with the observed patient characteristics.</t>
  </si>
  <si>
    <t>University medical centers, top clinical hospitals, general hospitals</t>
  </si>
  <si>
    <t>Between hospital referrals : 129 620 ; Readmissions to same hospital : 805128</t>
  </si>
  <si>
    <t>Netherlands</t>
  </si>
  <si>
    <t>degree ; outdegree ; indegree</t>
  </si>
  <si>
    <t>degree, out-degree, in-degree</t>
  </si>
  <si>
    <t>Patient referral patterns have a profound effect on the spread of healthcare-associated infections like hospital-acquired MRSA</t>
  </si>
  <si>
    <t>Any comparison of MRSA rates between hospitals, as a benchmark for hospital hygiene, should therefore take the position of a hospital within the network into account.</t>
  </si>
  <si>
    <t>vandenDool_2016</t>
  </si>
  <si>
    <t>The role of nursing homes in the spread of antimicrobial resistance over the healthcare network</t>
  </si>
  <si>
    <t>van den Dool C; Haenen A; Leenstra T; Wallinga J</t>
  </si>
  <si>
    <t>Epidemiology</t>
  </si>
  <si>
    <t>To investigate the role of nursing homes in the spread of AMR across the Dutch healthcare network and to assess their importance in regional and national infection control strategies</t>
  </si>
  <si>
    <t>flow between hospitals and nursing homes : Sentinel Surveillance Network on Infectious diseases in nursing homes (SNIV). Flow between hospitals : same data as Donker 2010. assumed the flow between nursing homes to be negligeable</t>
  </si>
  <si>
    <t>Netherlands Sentinel Surveillance Network on Infectious diseases in nursing homes (SNIV) + Landelijke Medische Registratie (LMR)</t>
  </si>
  <si>
    <t>electronic data</t>
  </si>
  <si>
    <t>flow between nursing homes and hospitals : 2012-2014. hospital transfer data : 2004.</t>
  </si>
  <si>
    <t>flow between nursing homes and hospitals : 3 years. hospital transfer data : 1 year</t>
  </si>
  <si>
    <t>Nursing homes, general hospitals (ils avaient trop peu de données sur les autres types d'hôpitaux (academic et top clinical) et donc ne les ont pas inclu)</t>
  </si>
  <si>
    <t>130 hospitals, 1095 nursing homes</t>
  </si>
  <si>
    <t>1 network every day (simulé à partir de données yearly pour hospitals and weekly for nursing homes, un peu bizarre)</t>
  </si>
  <si>
    <t>stochastic SIS model</t>
  </si>
  <si>
    <t>simulations de périodes de 10 ans avec des time steps de 1 jour. Ils n'utilisent pas directement leurs données, ils simulent les transferts plusieurs fois. The geenric pathogen is antibioresistant</t>
  </si>
  <si>
    <t>Assareh_2017</t>
  </si>
  <si>
    <t>Exploring interhospital transfers and partnerships in the hospital sector in New South Wales, Australia</t>
  </si>
  <si>
    <t>Assareh H; Achat HM; Levesque JF; Leeder SR</t>
  </si>
  <si>
    <t>Australian Health Review</t>
  </si>
  <si>
    <t>Public health</t>
  </si>
  <si>
    <t>To analyze the characteristics and patterns of interhospital transfers in New South Wales, Australia, and to explore partnerships through patient sharing networks</t>
  </si>
  <si>
    <t>NSW admitted patient data collection (APDC)</t>
  </si>
  <si>
    <t>NSW APDC</t>
  </si>
  <si>
    <t>Linked hospital administrative datasets from NSW ministry of health</t>
  </si>
  <si>
    <t>data accessed remotely through a system made available bt NSW CEE. No additional information</t>
  </si>
  <si>
    <t>Acute care hospitals</t>
  </si>
  <si>
    <t>Over 500</t>
  </si>
  <si>
    <t>Australian State</t>
  </si>
  <si>
    <t>New South Wales</t>
  </si>
  <si>
    <t>Australia</t>
  </si>
  <si>
    <t>Analysis of patient demographics (age, sex), morbidity burden, and hospital characteristics (peer group, public/private sector).
Examined directional transfer patterns (e.g., up-transfers to higher-level hospitals, down-transfers to smaller facilities, side-transfers within peer groups).</t>
  </si>
  <si>
    <t>Transfers within the public sector dominated (75.6%), with limited interaction between public and private hospitals.
A significant portion of transfers involved patients with higher morbidity burdens and longer hospital stays.</t>
  </si>
  <si>
    <t>most interhospital transfers were directed toward larger, better-equiped hospitals --&gt; it reflects a centralization of specialized care</t>
  </si>
  <si>
    <t>patterns of transfer and partnerships were influenced by organizational preferences and geographic proximity (public hospitals engaging in more transfers than private ones)</t>
  </si>
  <si>
    <t>the study highlights the need for guidelines to improve patient-centered transfers and to incorporate patient-sharing dynamics in hospital performance metrics</t>
  </si>
  <si>
    <t>Spilsbury_2015</t>
  </si>
  <si>
    <t>Cross border hospital use: analysis using data linkage across four Australian states</t>
  </si>
  <si>
    <t>Spilsbury K; Rosman D; Alan J; Boyd JH; Ferrante AM; Semmens JB</t>
  </si>
  <si>
    <t>Medical Journal of Australia</t>
  </si>
  <si>
    <t>To determine the quality and effectiveness of national data linkage capacity by investigating cross-border hospital use and hospital-related deaths + To evaluate the impact of cross-juridictional linkage on hospital mortality estimation</t>
  </si>
  <si>
    <t>Multiple sources, one for each state :1. NSW -&gt; NSW Health Department Admitted Patient Data Collection 2. SA -&gt; SA-NT DataLink3. WA -&gt; WA Hospital Morbidity Data System 4. Queensland: Queensland Hospital Admitted Patient Data</t>
  </si>
  <si>
    <t>NSW APDC, SA-NT DataLink, WA Hospital Morbidity Data, Queensland Hospital Admitted Patient Data</t>
  </si>
  <si>
    <t>administrative data from each state</t>
  </si>
  <si>
    <t>different sources of data according to Australian states, no additional information</t>
  </si>
  <si>
    <t>Public and private hospitals (except in SA, where only public hospitals were included)</t>
  </si>
  <si>
    <t>19 million hospital stays (mais pas tous impliquant un transfert)</t>
  </si>
  <si>
    <t>7,7 million (mais tous ne sont pas transférés)</t>
  </si>
  <si>
    <t>Multi-state</t>
  </si>
  <si>
    <t>no tools to analyse the network</t>
  </si>
  <si>
    <t>Attention, cette étude s'intéresse au cross-border hospital use. Une partie s'intéresse au transfert de patients entre hôpitaux, mais pas seulement. Pas très sûre de si il faut l'inclure finalement. Limits : data unavailable for other states, and private hosdpital data were missing from SA</t>
  </si>
  <si>
    <r>
      <t>3% of patients crossed a state border for hospital care</t>
    </r>
    <r>
      <rPr>
        <sz val="11"/>
        <color theme="1"/>
        <rFont val="Calibri"/>
        <family val="2"/>
        <scheme val="minor"/>
      </rPr>
      <t>, affecting healthcare planning and patient outcome evaluations.</t>
    </r>
  </si>
  <si>
    <r>
      <t>Cross-jurisdictional data linkage improved tracking of patient hospitalizations and mortality</t>
    </r>
    <r>
      <rPr>
        <sz val="11"/>
        <color theme="1"/>
        <rFont val="Calibri"/>
        <family val="2"/>
        <scheme val="minor"/>
      </rPr>
      <t>, revealing geographical patterns of hospital use.</t>
    </r>
  </si>
  <si>
    <r>
      <t>Hospital mortality estimates may be biased in single-state studies</t>
    </r>
    <r>
      <rPr>
        <sz val="11"/>
        <color theme="1"/>
        <rFont val="Calibri"/>
        <family val="2"/>
        <scheme val="minor"/>
      </rPr>
      <t>, emphasizing the need for national-level data linkage.</t>
    </r>
  </si>
  <si>
    <t>Bush_2019</t>
  </si>
  <si>
    <r>
      <t xml:space="preserve">Predicting hospital-onset </t>
    </r>
    <r>
      <rPr>
        <i/>
        <sz val="11"/>
        <color theme="1"/>
        <rFont val="Calibri"/>
        <family val="2"/>
        <scheme val="minor"/>
      </rPr>
      <t>Clostridium difficile</t>
    </r>
    <r>
      <rPr>
        <sz val="11"/>
        <color theme="1"/>
        <rFont val="Calibri"/>
        <family val="2"/>
        <scheme val="minor"/>
      </rPr>
      <t xml:space="preserve"> using patient mobility data: A network approach</t>
    </r>
  </si>
  <si>
    <t>Bush K; Barbosa H; Farooq S; Weisenthal SJ; Trayhan M; White RJ; Noyes EI; Ghoshal G; Zand MS</t>
  </si>
  <si>
    <r>
      <t xml:space="preserve">Examine the relationship between unit-wide </t>
    </r>
    <r>
      <rPr>
        <i/>
        <sz val="11"/>
        <color theme="1"/>
        <rFont val="Calibri"/>
        <family val="2"/>
        <scheme val="minor"/>
      </rPr>
      <t>Clostridium difficile</t>
    </r>
    <r>
      <rPr>
        <sz val="11"/>
        <color theme="1"/>
        <rFont val="Calibri"/>
        <family val="2"/>
        <scheme val="minor"/>
      </rPr>
      <t xml:space="preserve"> infection (CDI) susceptibility and inpatient mobility and to create contagion centrality as a new predictive measure of CDI</t>
    </r>
  </si>
  <si>
    <t>Patient electronic health record from a hospital in New York State</t>
  </si>
  <si>
    <t>Hospital data from a hospital in New-York</t>
  </si>
  <si>
    <t>No information on availibility of data. Data were coded such that patients could not be identified directly in compliance with the Department of Health and Human Services Regulations for the Protection of Human Subjects</t>
  </si>
  <si>
    <t>indegree, wiefghted in degree, closeness, PageRank. Consideration of additional centralities (outdegree, eigenvector, betweenness, … ) but not presented in the article. development of "contagion centrality"</t>
  </si>
  <si>
    <t>in-degree, weighted in-degree, closeness, PageRank, contagion centrality</t>
  </si>
  <si>
    <t>Cioffi_2018</t>
  </si>
  <si>
    <t>A network-theoretic analysis of hospital admission, transfer and discharge data</t>
  </si>
  <si>
    <t>Cioffi M; Mukhtar N; Ryan NC; Klobusicky JJ</t>
  </si>
  <si>
    <t>AMIA Joint Summits on Translational Science proceedings</t>
  </si>
  <si>
    <t>Comprehending complex behavior of flow within a graph, with the application of a hospital system</t>
  </si>
  <si>
    <t>données de patients allant dans un des hôpitaux de Geisinger Health System, un fournisseur régional de soins de santé</t>
  </si>
  <si>
    <t>Geisinger Health System data</t>
  </si>
  <si>
    <t>Time-stamped variables related to admissions, discharges and transfer of all patients who consented the use of their data</t>
  </si>
  <si>
    <t>2.25</t>
  </si>
  <si>
    <t>hospital data of patients which permitted the use of their data for research purposes.</t>
  </si>
  <si>
    <t>in and out strength centrality (number of patients who have flowed into the node considered over a dataset's time range) ; closeness centrality ; betweenness centrality ; in and out eigenvector centrality</t>
  </si>
  <si>
    <t>in-strength, out-strength,closeness centrality, betweenness centrality, eigenvector centrality</t>
  </si>
  <si>
    <t>Although high-risk clones spread quickly within healthcare collectives because of the numerous pateints shared at that level, the dispersal is much slower between collectives</t>
  </si>
  <si>
    <t>It is possible to reduce intercollective contact between hospitals, and nationwide dispersal of hospital-acquired pathogens, by redirecting at least some of the patients who were bound for an ‘external’ admission to their own residential healthcare collective.</t>
  </si>
  <si>
    <t>the creation of national specialist centres, currently favoured in many European countries for economic reasons, will receive patients from all collectives, facilitate nationwide spread and may ultimately stifle infection control measures.</t>
  </si>
  <si>
    <t>DiDiodato_2018</t>
  </si>
  <si>
    <r>
      <t xml:space="preserve">Interhospital patient transfers between Ontario's academic and large community hospitals increase the risk of </t>
    </r>
    <r>
      <rPr>
        <i/>
        <sz val="11"/>
        <color theme="1"/>
        <rFont val="Calibri"/>
        <family val="2"/>
        <scheme val="minor"/>
      </rPr>
      <t>Clostridium difficile</t>
    </r>
    <r>
      <rPr>
        <sz val="11"/>
        <color theme="1"/>
        <rFont val="Calibri"/>
        <family val="2"/>
        <scheme val="minor"/>
      </rPr>
      <t xml:space="preserve"> infection</t>
    </r>
  </si>
  <si>
    <t>DiDiodato G; McArthur L</t>
  </si>
  <si>
    <t>American Journal of Infection Control</t>
  </si>
  <si>
    <t>Epidemiology, Health Policy, Infectious Diseases</t>
  </si>
  <si>
    <t>Determine the impact of interhospital patient transfers on the risk of Clostridium difficile infection (CDI)</t>
  </si>
  <si>
    <t>Ontario Provincial Transfer Authorization Centre</t>
  </si>
  <si>
    <t>Database based on medical transfer authorization number, not externally verified</t>
  </si>
  <si>
    <t>no additional info on data</t>
  </si>
  <si>
    <t>Academic and large community hospitals</t>
  </si>
  <si>
    <t>167020 or 167040</t>
  </si>
  <si>
    <t>Canada</t>
  </si>
  <si>
    <t>NA (à part CDI score, which is a modification of weighted indegree which also accounts for the total number of HA-CDI cases from that sending hospital)</t>
  </si>
  <si>
    <t>multilevel mixed-effect Poisson regression model of CDI cases. Other covzariates : year, CDI testing strategy, antimicrobial stewardship program, critetria used for patient isolation</t>
  </si>
  <si>
    <t>Most AMR introductions occur within the same referral region, even if prevalence in other regions is higher.</t>
  </si>
  <si>
    <t>Screening strategies should prioritize intra-regional patient transfers rather than focusing solely on cross-regional movements.</t>
  </si>
  <si>
    <t>Regional coordination of AMR screening and control measures is critical to limiting the spread of CPE.</t>
  </si>
  <si>
    <t>Rankin_2020</t>
  </si>
  <si>
    <t>Social network analysis of patient movement across health care entities in Orange County, Florida</t>
  </si>
  <si>
    <t>Rankin DA; Matthews SD</t>
  </si>
  <si>
    <t>Public Health Reports</t>
  </si>
  <si>
    <t>To evaluate patient movements within and between healthcare facilities in Orange County, Florida, and surrounding counties using social network analysis to inform local public health interventions for multidrug-resistant organisms (MDROs).</t>
  </si>
  <si>
    <t>Centers for Medicare &amp; Medicaid Services (CMS) claims data</t>
  </si>
  <si>
    <t>USA national healthcare system</t>
  </si>
  <si>
    <t>?</t>
  </si>
  <si>
    <t>Acute care hospitals, long-term acute care hospitals, rehabilitation hospitals, skilled nursing facilities, other facilities (mental health, behavioral health, substance abuse facilities)</t>
  </si>
  <si>
    <t>County : 46 ;Regional: 82</t>
  </si>
  <si>
    <t>County network : 46 facilities ; Regional network : 82 facilities (by adding 36 facilities from other counties)</t>
  </si>
  <si>
    <t>County network : 600 transfers ; Regional network: 736 transfers</t>
  </si>
  <si>
    <t>County + Regional (2 networks)</t>
  </si>
  <si>
    <t>Orange County and the Central Florida region, USA (2 networks)</t>
  </si>
  <si>
    <t>density, reciprocity, indegree, outdegree, betweenness</t>
  </si>
  <si>
    <t>density, reciprocity, in-degree, out-degree, betweenness</t>
  </si>
  <si>
    <t>patient-sharing data only included Medicare benediciaries --&gt; underestimation of total patient movement</t>
  </si>
  <si>
    <t>acute care hospitals in OC were central to patient movement within the county network, whereas post-acute care and other facilities played larger roles in the regional network</t>
  </si>
  <si>
    <t>both networks were sparse, indicating limited direct connectivity between facilities</t>
  </si>
  <si>
    <t>social network analysis can identify key faciltiies for targeted MDRO interventions and improve local infection prevention strategies</t>
  </si>
  <si>
    <t>Bartsch_2014</t>
  </si>
  <si>
    <t>The spread and control of norovirus outbreaks among hospitals in a region : a simulation model</t>
  </si>
  <si>
    <t>Bartsch SM; Huang SS; Wong KF; Avery TR; Lee BY</t>
  </si>
  <si>
    <t>Open Forum Infectious Diseases</t>
  </si>
  <si>
    <t>Simulating outbreaks in an already reconstructed network</t>
  </si>
  <si>
    <t>Acute care transfers : California Office of Statewide Health Planning and Development; LTCF transfers : surveys of the annual number of patient transfers + national Long Term Care Minimum Data Set</t>
  </si>
  <si>
    <t>OSHPD database + national Long Term Care Minimum Data Set + Surveys of LTCF</t>
  </si>
  <si>
    <t>Health insurance databases,  Survey databases</t>
  </si>
  <si>
    <t>2006*</t>
  </si>
  <si>
    <t>Acute care hospitals including long-term acute care faciltiies</t>
  </si>
  <si>
    <t>County</t>
  </si>
  <si>
    <t>adult patients</t>
  </si>
  <si>
    <t>stochastic ABM</t>
  </si>
  <si>
    <t>Norovirus</t>
  </si>
  <si>
    <t>*stats retrouvées à partir de Lee_2013</t>
  </si>
  <si>
    <t>Norovirus outbreaks can spread from a single hospital to others within a county, even when initially appearing unrelated.</t>
  </si>
  <si>
    <t>Implementing contact precautions for symptomatic patients reduces the overall probability and scale of spread, though it may not fully prevent it.</t>
  </si>
  <si>
    <t>Chang_2016</t>
  </si>
  <si>
    <r>
      <t xml:space="preserve">Identifying the effect of patient sharing on between-hospital genetic differenciation of methicillin-resistant </t>
    </r>
    <r>
      <rPr>
        <i/>
        <sz val="11"/>
        <color theme="1"/>
        <rFont val="Calibri"/>
        <family val="2"/>
        <scheme val="minor"/>
      </rPr>
      <t>Staphylococcus aureus</t>
    </r>
  </si>
  <si>
    <t>Chang HH; Dordel J; Donker T; Worby CJ; Feil EJ; Hanage WP; Bentley SD; Huang SS; Lipsitch M</t>
  </si>
  <si>
    <t>Genome Medicine</t>
  </si>
  <si>
    <t>Genetics</t>
  </si>
  <si>
    <t>To determine the effect of patient sharing between hospitals on genetic differentiation of S. aureus populations</t>
  </si>
  <si>
    <t>California Office of Statewide Health Planning and Development (acute care facility data) and LTCF surveys which requested the annual number of patient transfers + national Long Term Care Minimum Data Set</t>
  </si>
  <si>
    <t>indegree</t>
  </si>
  <si>
    <t>analyse de réseau couplée à une analyse génétique/phylogénétique des isolats provenant des patients des hôpitaux du réseau</t>
  </si>
  <si>
    <t>patient sharing between hospitals facilitates high levels of gene flow, diluting genetic differenciation of MRSA populations</t>
  </si>
  <si>
    <t>Coalescent simulations support the hypothesis that gene flow via patient sharing impacts population structure significantly in regions with high connectivity.</t>
  </si>
  <si>
    <t>Huang_2010</t>
  </si>
  <si>
    <t>Quantifying interhospital patient sharing as a mechanism for infectious disease spread</t>
  </si>
  <si>
    <t>Huang SS; Avery TR; Song Y; Elkins KR; Nguyen CC; Nutter SK; Nafday AA ; Condon CJ ; Chang MT; Chrest D; Boos J; Bobashev G; Wheaton W; Frank SA; Platt R; Lipsitch M; Bush RM; Eubank S; Burke DS; Lee BY</t>
  </si>
  <si>
    <r>
      <t xml:space="preserve">To quantify patient-sharing patterns between hospitals and assess their role in facilitating the spread of infectious diseases as </t>
    </r>
    <r>
      <rPr>
        <i/>
        <sz val="11"/>
        <color theme="1"/>
        <rFont val="Calibri"/>
        <family val="2"/>
        <scheme val="minor"/>
      </rPr>
      <t xml:space="preserve">Clostridium difficile </t>
    </r>
    <r>
      <rPr>
        <sz val="11"/>
        <color theme="1"/>
        <rFont val="Calibri"/>
        <family val="2"/>
        <scheme val="minor"/>
      </rPr>
      <t>and MRSA</t>
    </r>
  </si>
  <si>
    <t>California Office of Statewide Health Planning and Development hospital discharge dataset</t>
  </si>
  <si>
    <t>OSHPD database</t>
  </si>
  <si>
    <t>hospital data (?)</t>
  </si>
  <si>
    <t>Acute care hospitals including long-term acute care facilities</t>
  </si>
  <si>
    <t>54376 (including 94% of indirect transfers)</t>
  </si>
  <si>
    <t>temporal patterns of patient-sharing events (30-day, 84-day, …) ; patterns for patients with C.difficile</t>
  </si>
  <si>
    <t>indirect pateitn sharing accounted for 94% of interhospital sharing events</t>
  </si>
  <si>
    <t>patient-sharing patterns vary significantly between hospitals. Hospitals that share many pateints with other hospitals are key nodes for disease transmission.</t>
  </si>
  <si>
    <t>Effective control of hospital-associated infections requires accounting for indirect patient-sharing events, as they occur without direct communication between hospitals.</t>
  </si>
  <si>
    <t>Ke_2012</t>
  </si>
  <si>
    <r>
      <t xml:space="preserve">Patient sharing and population genetic structure of methicillin-resistant </t>
    </r>
    <r>
      <rPr>
        <i/>
        <sz val="11"/>
        <color theme="1"/>
        <rFont val="Calibri"/>
        <family val="2"/>
        <scheme val="minor"/>
      </rPr>
      <t>Staphylococcus aureus</t>
    </r>
  </si>
  <si>
    <t>Ke W; Huang SS; Hudson LO; Elkins KR; Nguyen CC; Spratt BG; Murphy CR; Avery TR; Lipsitch M</t>
  </si>
  <si>
    <t>To examine how patient sharing between hospitals influences the genetic differentiation of MRSA populations and identify correlations between patient transfer networks and MRSA genetic diversity.</t>
  </si>
  <si>
    <t>hospital database (? or administrative data?)</t>
  </si>
  <si>
    <t>Acute care hospitals including long-term acute care facilities (LTAC)</t>
  </si>
  <si>
    <t>30 among the 32 hospitals of Huang_2010. No further information on the network characteristics</t>
  </si>
  <si>
    <t>294910 (obtenu en additionnant les chiffres dans Table S1)</t>
  </si>
  <si>
    <t>détails du réseau pas donnés ici, trouvés dans Huang 2010</t>
  </si>
  <si>
    <t>Patient sharing significantly impacts the genetic differentiation of MRSA populations across hospitals, with more patient sharing correlating with higher genetic similarity.</t>
  </si>
  <si>
    <t>Hospital networks with extensive patient sharing require coordinated infection control strategies to manage MRSA spread.</t>
  </si>
  <si>
    <t>limitation: lack of temporal dynamics, incomplete representation of all pateint movements</t>
  </si>
  <si>
    <t>Lee_2011a</t>
  </si>
  <si>
    <t>Social network analysis of patient sharing among hospitals in Orange County, California.</t>
  </si>
  <si>
    <t>Lee BY; McGlone SM; Song Y; Avery TR; Eubank S; Chang CC; Bailey RR; Wagener DK; Burke DS; Platt R; Huang SS</t>
  </si>
  <si>
    <t>American Journal of Public Health</t>
  </si>
  <si>
    <t>Determine how hospitals within Orange County are interconnected by patient sharing</t>
  </si>
  <si>
    <t>California Office of Statewide Health Planning and Development</t>
  </si>
  <si>
    <t>Publicly available secondary data</t>
  </si>
  <si>
    <t>Presentation of 2 networks: direct and indirect</t>
  </si>
  <si>
    <t>Hospitals, long-term acute care facilities</t>
  </si>
  <si>
    <t xml:space="preserve">geodesic distance ; diameter ; density ; degree ; in-degree ; out-degree ; betweenness </t>
  </si>
  <si>
    <t>degree, in-degree, out-degree, betweenness centrality, geodesic distance, average geodesic distance, network diameter, density</t>
  </si>
  <si>
    <t>multivariate associations between social network measures and hospital characteristics</t>
  </si>
  <si>
    <t>Hospitals in OC, California were highly and heterogeneously interconnected with each other</t>
  </si>
  <si>
    <t>Different hospitals influenced the network in different ways</t>
  </si>
  <si>
    <t>Applying social network principles and constructs to a region's hospitals may assist public heath officials, policymakers, hospital administrators, and researchers in designing interventions to monitor and control diseases</t>
  </si>
  <si>
    <t>Lee_2011b</t>
  </si>
  <si>
    <r>
      <t xml:space="preserve">Modeling the spread of methicillin-resistant </t>
    </r>
    <r>
      <rPr>
        <i/>
        <sz val="11"/>
        <color theme="1"/>
        <rFont val="Calibri"/>
        <family val="2"/>
        <scheme val="minor"/>
      </rPr>
      <t xml:space="preserve">Staphylococcus aureus </t>
    </r>
    <r>
      <rPr>
        <sz val="11"/>
        <color theme="1"/>
        <rFont val="Calibri"/>
        <family val="2"/>
        <scheme val="minor"/>
      </rPr>
      <t>(MRSA) outbreaks throughout the hospitals in Orange County, California</t>
    </r>
  </si>
  <si>
    <t>Lee BY; McGlone SM; Wong KF; Yilmaz SL; Avery TR; Song Y; Christie R; Eubank S; Brown ST; Epstein JM; Parker JI; Burke DS; Platt R; Huang SS</t>
  </si>
  <si>
    <t>To evaluate how MRSA outbreaks in individual hospitals affect the entire hospital network of Orange County, California using an agent-based model that simulates patient flow and MRSA transmission</t>
  </si>
  <si>
    <t>hospital database (?)</t>
  </si>
  <si>
    <t>Acute care hospitals, long-term acute care facilities</t>
  </si>
  <si>
    <t>indegree, outdegree</t>
  </si>
  <si>
    <t>in-degree, out-degree</t>
  </si>
  <si>
    <t>Sensitivity analyses of parameters such as length of stay, MRSA carriage duration, and transmission rates.</t>
  </si>
  <si>
    <t>MRSA samples collection</t>
  </si>
  <si>
    <t>The model assumes homogeneous mixing within wards, which may oversimplify real-world interactions. ; Results are specific to Orange County and may not be directly generalizable to other regions.</t>
  </si>
  <si>
    <t>Even a small outbreak in one hospital (e.g., an ICU) can spread MRSA across the regional hospital network, affecting all hospitals to varying degrees.</t>
  </si>
  <si>
    <t>Larger and more connected hospitals have a disproportionate influence on the spread of MRSA throughout the network.</t>
  </si>
  <si>
    <t>Infection control measures should consider the interconnectedness of hospitals in a region, as hospitals are not isolated entities.</t>
  </si>
  <si>
    <t>Lee_2011c</t>
  </si>
  <si>
    <t>Long-term care facilities: important participants of the acute care facility social network?</t>
  </si>
  <si>
    <t>Lee BY; Song Y; Bartsch SM; Kim DS; Singh A; Avery TR; Brown ST; Yilmaz SL; Wong KF; Potter MA; Burke DS; Platt R; Huang SS</t>
  </si>
  <si>
    <t>Characterize and determine the extent and pattern of patient transfers to, from and between long-term care facilities on the netowrk of acute care facilities</t>
  </si>
  <si>
    <t>Acute care, long-term care facilities, long-term acute care facilities</t>
  </si>
  <si>
    <t>density ; reciprocity ; geodesic distance (Shortest number of inter-facility ties that connect one facility to
another (i.e., shortest path needed to travel from one facility to another); network diameter ; betweenness ; out-degree ; in-degree</t>
  </si>
  <si>
    <t>in-degree centrality, out-degree centrality, betweenness centrality, geodesic distance, number of ties, density, average degree centrality, average betweenness centrality, network diameter, network reciprocity</t>
  </si>
  <si>
    <t>Many long-term care faciltiies were connected bt patient transfers and further added many connections to the acute care facility network</t>
  </si>
  <si>
    <t>The results suggest that policy-makers and health officials should account for patient sharing with and among long-term care faciltiies as well as those among acute care facilities when evaluating policies and interventions</t>
  </si>
  <si>
    <t>Lee_2012</t>
  </si>
  <si>
    <t>Simulation shows hospitals that cooperate on infection control obtain better results than hospitals acting alone</t>
  </si>
  <si>
    <t>Lee BY ; Bartsh SM ; Wong KF ; Yilmaz SL ; Avery TR ; Singh A ; Song Y ; Kim SM ; Brown ST ; Potter MA ; Platt R ; Huang S</t>
  </si>
  <si>
    <t>Health Affairs</t>
  </si>
  <si>
    <t>To evaluate the impact of hospitals cooperating regionally in infection control efforts (specifically for MRSA) using a computational simulation of Orange County, California.</t>
  </si>
  <si>
    <t>Patient admission and transfer data from the California Office of Statewide Health Planning and Development.</t>
  </si>
  <si>
    <t>29 acute care hospitals including 5 long-term acute-care facilities</t>
  </si>
  <si>
    <t>envie de dire ça à cause du modèle mathématique mais à revoir</t>
  </si>
  <si>
    <t>sensitibity analysis on intervention compliance (25%, 50% and 75%)</t>
  </si>
  <si>
    <t>screening of all incoming patients, contact isolation procesures for patients testing positive for MRSA</t>
  </si>
  <si>
    <t>screening of all incoming patients with decolonization and isolation of positive patients</t>
  </si>
  <si>
    <t>MRSA prevalence and patient readmission data</t>
  </si>
  <si>
    <t>trouvé dans Lonc_2019. Exclu de l'équation de re cherche car pas de mot correspondant à la 3ème section (idée de réseau)</t>
  </si>
  <si>
    <t>the RHEA model simplifies some real-world complexities like pateint comorbidities, community-based transmission, etc.</t>
  </si>
  <si>
    <t>Lee_2013a</t>
  </si>
  <si>
    <r>
      <t xml:space="preserve">The importance of nursing homes in the spread of methicillin-resistant </t>
    </r>
    <r>
      <rPr>
        <i/>
        <sz val="11"/>
        <color theme="1"/>
        <rFont val="Calibri"/>
        <family val="2"/>
        <scheme val="minor"/>
      </rPr>
      <t xml:space="preserve">Staphylococcus aureus </t>
    </r>
    <r>
      <rPr>
        <sz val="11"/>
        <color theme="1"/>
        <rFont val="Calibri"/>
        <family val="2"/>
        <scheme val="minor"/>
      </rPr>
      <t>(MRSA) among hospitals</t>
    </r>
  </si>
  <si>
    <t>Lee BY; Bartsch SM; Wong KF; Singh A; Avery TR; Kim DS; Brown ST; Murphy CR; Yilmaz SL; Potter MA; Huang SS</t>
  </si>
  <si>
    <t>To examine the role of nursing homes in regional MRSA transmission among hospuitals and assess their impact on infection dynamics using agent-based modeling</t>
  </si>
  <si>
    <t>OSHPD database + a national long-term care dataset (Miminum Data Set) + hospital dans nursing home surveys to assess the distriubtion of transferring locations</t>
  </si>
  <si>
    <t>administrative database + surveys</t>
  </si>
  <si>
    <t>Paramètre de base du RHEA</t>
  </si>
  <si>
    <t>Hospitals, nursing homes</t>
  </si>
  <si>
    <t>100 (29 hospitals+71 nursing homes)</t>
  </si>
  <si>
    <t>annual adult admissions hospitals : 255974 ; nursing homes: 35820 (approximé en utilisant les moyenens par hôpital, nursing home)</t>
  </si>
  <si>
    <t>ils reprennent leur RHEA qui contient 29 hôpitaux, en ajoutant 71 nursing homes</t>
  </si>
  <si>
    <t>nursing homes play a critical role in amplifying and bridging MRSA outbreaks across hospitals in a regional networl</t>
  </si>
  <si>
    <t>effective MRSA control requires incorporating nursing homes into regional infection prevention strategies</t>
  </si>
  <si>
    <t>excluding indirect patient transfers underestimates the majority of patient-sharing dynamics and MRSA transmission routes (like they showed in a previous paper)</t>
  </si>
  <si>
    <t>Lee_2013b</t>
  </si>
  <si>
    <t>The regional healthcare ecosystem analyst (RHEA): simulation modeling tool to assist infectious disease control in a health system</t>
  </si>
  <si>
    <t>Lee BY; Wong KF; Bartsch SM; Yilmaz SL; Avery TR; Brown ST; Song Y; Singh A; Kim DS; Huang SS</t>
  </si>
  <si>
    <t>JAMIA</t>
  </si>
  <si>
    <t>Develop the RHEA, a computational simulation tool. The input is hospital data and it allows to develop an agent-based model on the healthcare ecosystem</t>
  </si>
  <si>
    <t>pateint admission and discahrge data frolm the California Office of Statewide Health Planning and Development + national and state hospital databases</t>
  </si>
  <si>
    <t xml:space="preserve">administrative database </t>
  </si>
  <si>
    <t>Hospitals, long term acute care facilities</t>
  </si>
  <si>
    <t>acute care hospitals : 241 192 in 2006 ; long term acute care hospitals : 7202 in 2006</t>
  </si>
  <si>
    <t>sensitivity analyses on bed capacity changes, length of stay variation, readmission probabilities, transmission coefficient adjustments</t>
  </si>
  <si>
    <t>increasing MRSA screening and isolation policies, changing hospital admision policies, changing hospital discharge policies (reducing length of stay for patients that tested positive for MRSA)</t>
  </si>
  <si>
    <t>uncoordinated patient screening and isolation, changing hospital admission and discharge policies</t>
  </si>
  <si>
    <t>MRSA prevalence data from hospital database and previous studies</t>
  </si>
  <si>
    <t>Le RHEA est un agent-based model, donc un modèle mathématique au même titre que certains modèles de propagation</t>
  </si>
  <si>
    <t>Inter-facility collaboration is crucial for infection control.</t>
  </si>
  <si>
    <t>Lee_2013c</t>
  </si>
  <si>
    <t>Modeling the regional spread and control of vancomycin-resistant enterococci</t>
  </si>
  <si>
    <t>Lee BY; Yilmaz SL; Wong KF; Bartsch SM; Eubank S; Song Y; Avery TR; Christie R; Brown ST; Epstein JM; Parker JI; Huang SS</t>
  </si>
  <si>
    <t>Quantify the degree and speed at which changes in VRE colonization prevalence in a hospital may affect prevalence in other hospitals in the network</t>
  </si>
  <si>
    <t>details available from the authors upon request</t>
  </si>
  <si>
    <t>Network not available (detzails availabnle from the authors upon request)</t>
  </si>
  <si>
    <t>Adult hospitals</t>
  </si>
  <si>
    <t>29 (excluded 3 children's hospitals)</t>
  </si>
  <si>
    <t>Stochastic ABM</t>
  </si>
  <si>
    <t>Vancomycin-Resistant Enterococci</t>
  </si>
  <si>
    <t>(pas explicitement) (à revoir, pour les autres études de Lee ils utilisent des résultats de tests microbio, mais c'était le MRSA alors qu'ici c'est Vancomycin-Resistant Enterococci)</t>
  </si>
  <si>
    <t>VRE surveillance and control measures could be more effectrive and more elucidative if they include all or a large subset of hospitals across a region</t>
  </si>
  <si>
    <t>Knowing a hospital's connections with other health care facilities via patient sharing can help determine which hospitals to include in a surveillance or control program</t>
  </si>
  <si>
    <t>Because the effects of VRE colonization prevalence change in 1 hospital can take months to years to fully manifest, patience and long-term follow-up may be essential when tracking VRE control.</t>
  </si>
  <si>
    <t>Lee_2013d</t>
  </si>
  <si>
    <r>
      <t xml:space="preserve">The potential regional impact of contact precaution use in nursing homes to control methicillin-resistant </t>
    </r>
    <r>
      <rPr>
        <i/>
        <sz val="11"/>
        <color theme="1"/>
        <rFont val="Calibri"/>
        <family val="2"/>
        <scheme val="minor"/>
      </rPr>
      <t>Staphylococcus aureus</t>
    </r>
  </si>
  <si>
    <t>Lee BY ; Singh A ; Bartsch SM ; Wong KF ; Kim DS ; Avery TR ; Brown ST ; Murphy CR ; Yilmaz SL ; Huang SS</t>
  </si>
  <si>
    <t>To evaluate the impact of different contact precaution strategies in nursing homes on the regional transmission of MRSA, using an agent-based model (ABM) that simulates patient movements between hospitals and nursing homes and the community</t>
  </si>
  <si>
    <t>California Office of Statewide Health Planning and Development (acute care facility data) + hospital and nursing homes surveys which requested the annual number of patient transfers + national Long Term Care Minimum Data Set</t>
  </si>
  <si>
    <t>Hospitalizations and rehospitalizations : 2007 ; transfers between hospitals and nursing homes: 2006-2008</t>
  </si>
  <si>
    <t>Adult hospitals, long-term acute care facilities, nursing homes</t>
  </si>
  <si>
    <t>29 hospitals, 71 nursing homes = 100 inpatient facilities</t>
  </si>
  <si>
    <t>in nursing homes: (i) no contact precautions applied (ii) contact precautions applied to residents with clinically apparent MRSA infection (iii) contact precautions to all known MRSA carriers maintained for their entire stay in the nursing home</t>
  </si>
  <si>
    <t>contact precautions for positive residents in the nursing homes</t>
  </si>
  <si>
    <t>prevalence estimates from surveys and facility-level screening data</t>
  </si>
  <si>
    <t>trouvé dans Nekkab_2017</t>
  </si>
  <si>
    <t>attention possible resource limitations in nursing homes to adhere to contact precautions + the model assumes homogeneous mixing, which may overestimate transmission</t>
  </si>
  <si>
    <t>Lee_2016</t>
  </si>
  <si>
    <r>
      <t xml:space="preserve">The potential trajectory of carbapenem-resistant </t>
    </r>
    <r>
      <rPr>
        <i/>
        <sz val="11"/>
        <color theme="1"/>
        <rFont val="Calibri"/>
        <family val="2"/>
        <scheme val="minor"/>
      </rPr>
      <t>Enterobacteriaceae</t>
    </r>
    <r>
      <rPr>
        <sz val="11"/>
        <color theme="1"/>
        <rFont val="Calibri"/>
        <family val="2"/>
        <scheme val="minor"/>
      </rPr>
      <t>, an emerging threat to health-care facilities, and the impact of the centers for disease control and prevention toolkit</t>
    </r>
  </si>
  <si>
    <t>Lee BY ; Bartsch SM ; Wong KF ; McKinnell JA ; Slayton RB ; Miller LG ; Cao C ; Kim DS ; Alexander JK ; Jernigan JA ; Huang SS</t>
  </si>
  <si>
    <t>American Journal of Epidemiology</t>
  </si>
  <si>
    <t>To evaluate the potential spread of carbapenem-resistant Enterobaceteriaceae within a regional healthcare system and assess the impact of coordinated versus uncoordinated infection control measures using an agent-based model</t>
  </si>
  <si>
    <t>California Office of Statewide Health Planning and Development (acute care facility data) + Long term care minimum dataset from Centers for Medicare anfd Medicaid Services (CMS) + Long-term care facility datasets</t>
  </si>
  <si>
    <t>28 acute care hospitals including 5 LTACHs, 74 nursing homes = 102 facilities</t>
  </si>
  <si>
    <t>1. Uncoordinated facility-level infection control : each hospital implements active CRE surveillance (rectal-screening) and places CRE-positive patients on contact precautions 2. Coordinated regional infection control: all facilities implement the same active surveillance and contact precuation measures</t>
  </si>
  <si>
    <t>uncoordinated patient screening and isolation, coordinated patient screening and isolation</t>
  </si>
  <si>
    <t>trouvé dans Nekkab_2020</t>
  </si>
  <si>
    <t>coordinated regional control is more effective than uncoordinated, facility-level control, especially at higher CRE burden levels</t>
  </si>
  <si>
    <t>Slayton_2015</t>
  </si>
  <si>
    <t>Vital Signs: Estimated Effects of a Coordinated Approach for Action to Reduce Antibiotic-Resistant Infections in Health Care Facilities — United States</t>
  </si>
  <si>
    <t>Slayton RB ; Toth D ; Lee BY ; Tanner W ; Bartsch SM ; Khader K ; Wong K ; Brown KB ; McKinnell JA ; Ray W ; Miller LG ; Rubin M ; Kim DS ; Adler F ; Cao C ; Avery L ; Stone NTB ; Kallen A ;Samore M ; Huang SS ; Fridkin S ; Jernigan JA</t>
  </si>
  <si>
    <t>Morbidity and Mortality Weekly Report</t>
  </si>
  <si>
    <t>Epidemiology, Social Sciences applied to health</t>
  </si>
  <si>
    <t>To evaluate the impact of coordinated infection control and antibiotic stewardhip programs on reducing healthcare-associated infections caused by antibiotic-resistant organisms (CRE, MRSA, C. difficile, MDR Pseudomonas aeruginosa) using agent-based models simulating intefacility patient transfers</t>
  </si>
  <si>
    <t>transfer data from the US Department of Veterans Affairs + state inpatient database data</t>
  </si>
  <si>
    <t>administrative database?</t>
  </si>
  <si>
    <t>NA (we only have time range for epidemiological data, not patient transfer data)</t>
  </si>
  <si>
    <t>Acute care hospitals, long-term acute care hospitals, free-standing nursing homes</t>
  </si>
  <si>
    <t>102 facilities</t>
  </si>
  <si>
    <t>1. independent augmented: a subset of facilities screens actively and isolates subsequently CRE-colonized patients 2. coordinated regional infection control: all faciltiies share CRE test results with a central public health ahtority, which then triggers strategically enhanced active detection and isolation measures</t>
  </si>
  <si>
    <t>prevalence estimates from CDC surveillance programs</t>
  </si>
  <si>
    <t>simulation de patients virtuels à partir de données réelles de transferts de patients. Pas vraiment de description des données de transferts de pateints ; they use their conclusions based on mo Orange County to make conclusions on the whole country. Multiple pathogens : CRE, MRSA, MDR P. aeruginosa, Clostridium difficile</t>
  </si>
  <si>
    <t>vanderZee_2024</t>
  </si>
  <si>
    <t>Implications of interhospital patient transfers for emergency medical services transportation systems in the Netherlands: a retrospective study</t>
  </si>
  <si>
    <t>van der Zee DJ; Maruster L; Buijs P; Aerts-Veenstra M; Hatenboer J; Buskens E</t>
  </si>
  <si>
    <t>BMJ Open</t>
  </si>
  <si>
    <t>To analyze interhospital patient transfers in the Netherlands, focusing on their impact on emergency medical services (EMS) transportation demand, fleet management and resource allocation</t>
  </si>
  <si>
    <t>EMS transport data from the province of Drenthe, Netherlands + public hospital listings</t>
  </si>
  <si>
    <t>ambulance data + hospital data</t>
  </si>
  <si>
    <t>data not available</t>
  </si>
  <si>
    <t>direct because ambulance data</t>
  </si>
  <si>
    <t>General hospitals, top-clinical hospitals, academic hospitals</t>
  </si>
  <si>
    <t>4 hospitals within the province + additional hospitals from other provinces (number not said)</t>
  </si>
  <si>
    <t>NA (ambulance transport)</t>
  </si>
  <si>
    <t>interhospital transfers increased from 2013 to 2019 --&gt; additional demand on EMS services</t>
  </si>
  <si>
    <t>planned transfers grew significantly while urgent transfers remained a smaller proportion of overall EMS demand</t>
  </si>
  <si>
    <r>
      <t>Longer transfer distances and more cross-border patient movement</t>
    </r>
    <r>
      <rPr>
        <sz val="11"/>
        <color theme="1"/>
        <rFont val="Calibri"/>
        <family val="2"/>
        <scheme val="minor"/>
      </rPr>
      <t xml:space="preserve"> create operational challenges for EMS providers.</t>
    </r>
  </si>
  <si>
    <t>Lonc_2019</t>
  </si>
  <si>
    <t>Analysis of the AOK Plus data and derived hospital network</t>
  </si>
  <si>
    <t>Lonc, A.; Piotrowska, M.J.; Sakowski, K.</t>
  </si>
  <si>
    <t>Mathematica Applicanda</t>
  </si>
  <si>
    <t>Mathematics (miscellaneous)</t>
  </si>
  <si>
    <t>Analyser les données d'admission/discharge, en tirer un healthcare system transfer network, in order to create a basis for simulation of multidrug-resistant bacteriae</t>
  </si>
  <si>
    <t>Anonymized patients dataset provided by AOK Plus</t>
  </si>
  <si>
    <t>AOK Plus - a healthcare provider in Saxony and Thuringia</t>
  </si>
  <si>
    <t>4826823 hospitalisations en tout</t>
  </si>
  <si>
    <t>Multiregional (Saxony and Thuringia)</t>
  </si>
  <si>
    <t>shortest connecting path ; indegree ; outdegree</t>
  </si>
  <si>
    <t>shortest connecting path, in-degree, out-degree</t>
  </si>
  <si>
    <t>The classification of healthcare faciltiies based on the number of admissions or the number of patients allows us to identify which facilities may be more prone to infection outbreaks</t>
  </si>
  <si>
    <t>The network is built on direct transfers only, si it does not account for cases when the pateint stays at home between hospitalizations --&gt; does not reflect the actual spread of bacteria as after leaving one hospital a patient may remain infected for a long period of time and still be infected while being admitted to another facility</t>
  </si>
  <si>
    <t>Piotrowska_2023</t>
  </si>
  <si>
    <r>
      <t xml:space="preserve">The effect of re-directed patient flow in combination with targeted infection control measures on the spread of multi-drug-resistant </t>
    </r>
    <r>
      <rPr>
        <i/>
        <sz val="11"/>
        <color theme="1"/>
        <rFont val="Calibri"/>
        <family val="2"/>
        <scheme val="minor"/>
      </rPr>
      <t xml:space="preserve">Enterobacteriaceae </t>
    </r>
    <r>
      <rPr>
        <sz val="11"/>
        <color theme="1"/>
        <rFont val="Calibri"/>
        <family val="2"/>
        <scheme val="minor"/>
      </rPr>
      <t>in the German health-care system: a mathematical modelling approach</t>
    </r>
  </si>
  <si>
    <t>Piotrowska MJ; Sakowski K; Horn J; Mikolajczyk R; Karch A</t>
  </si>
  <si>
    <t>Clinical Microbiology and Infection</t>
  </si>
  <si>
    <t>To evaluate how re-direction of patient flow and targeted infection control measures can mitigate the spread of MDR-E in the German healthcare system</t>
  </si>
  <si>
    <t>AOK Plus hospitalization records</t>
  </si>
  <si>
    <t>administrative records</t>
  </si>
  <si>
    <t>Indirect: "with intermediate stays in the community", no additional details</t>
  </si>
  <si>
    <t>General hospitals, special care hospitals, long-term care facilities</t>
  </si>
  <si>
    <t>not explicitely stated</t>
  </si>
  <si>
    <t>1. redirection of patient flows to limit indirect transfers 2. targeted infection control measures at high-R0 hospitals 3. combined strategies integrating patient flow redirection and infection control</t>
  </si>
  <si>
    <t>modifying patient transfer patterns, increasing infection control measures at high-R0 hospitals</t>
  </si>
  <si>
    <t>hospital-specific R0</t>
  </si>
  <si>
    <t>the pragmatic patient re-direction strategies were not capable of restricting the spread of MDR-E in a simulation of the German health-care system</t>
  </si>
  <si>
    <t>In contrast, hospital-based interventions focusing on institutions identified based on network transmission patterns seem to be a promising apporach for sustainable reduction of the spread of MDR-E through the German population</t>
  </si>
  <si>
    <t>vanBunnik_2015</t>
  </si>
  <si>
    <t>Efficient national surveillance for health-care-associated infections</t>
  </si>
  <si>
    <t>van Bunnik BA; Ciccolini M; Gibbons CL; Edwards G; Fitzgerald R; McAdam PR; Ward MJ; Laurenson IF; Woolhouse ME</t>
  </si>
  <si>
    <t>BMC Public Health</t>
  </si>
  <si>
    <t>Guide the design of efficient and reliable surveillance systems in the context of a novel pathogen spreading primarily between hospitals through the movement of pateints</t>
  </si>
  <si>
    <t>Information Services Division</t>
  </si>
  <si>
    <t>Scotland National datasets</t>
  </si>
  <si>
    <t>Données systématique de l'agence gouvernementale de la santé en Ecosse</t>
  </si>
  <si>
    <t>Hospitals only (a hospital is defined as a secondary healthcare facility with at least one inpatient per year and with at least one hospital specialty or department)</t>
  </si>
  <si>
    <t>2360 connexions entre paires d'hôptiaux mais aucne info sur le nombre de patients/transferts par connexion</t>
  </si>
  <si>
    <t>National (état du Royaume-Uni)</t>
  </si>
  <si>
    <t>Scotland</t>
  </si>
  <si>
    <t>SI stochastic model</t>
  </si>
  <si>
    <t>S. aureus</t>
  </si>
  <si>
    <t>1. augmentation du nb d'hôpitaux participant à la surveillance active 2. sélection optiamel des hôpitaux pour la surveillance à partir de leur rôle dans le réseau de transferts de pateins 3. réduction du nb d'hôpitaux dans la surveillance 4. utilisation d'un algorithme "greedy" pour choisir les hôpitaux à inclure dans la surveillance</t>
  </si>
  <si>
    <r>
      <rPr>
        <i/>
        <sz val="11"/>
        <color theme="1"/>
        <rFont val="Calibri"/>
        <family val="2"/>
        <scheme val="minor"/>
      </rPr>
      <t xml:space="preserve">S. aureus </t>
    </r>
    <r>
      <rPr>
        <sz val="11"/>
        <color theme="1"/>
        <rFont val="Calibri"/>
        <family val="2"/>
        <scheme val="minor"/>
      </rPr>
      <t>bacteraemia case data (number of MRSA and MSSA bacteraemia cases) for the year 2007 and stratifed by hospital, provided by Health Protection Scotland (HPS)</t>
    </r>
  </si>
  <si>
    <t>the current surveillance system as it is used in Scotland is not optimal in detecting novel pathogens when compared to a gold standard</t>
  </si>
  <si>
    <t>however, efficiency gains are possible by better choice of sentinel hospitals, or by increasing the number of hospitals involved in surveillance</t>
  </si>
  <si>
    <t>Bartolucci_2023</t>
  </si>
  <si>
    <t>Temporal analysis of hospital network data by hierarchical Bayesian p2 models with covariates</t>
  </si>
  <si>
    <t>Bartolucci, F.; Donni, P.L.; Mira, A.</t>
  </si>
  <si>
    <t>Journal of the Royal Statistical Society</t>
  </si>
  <si>
    <t>Statistics &amp; probability</t>
  </si>
  <si>
    <t>Propose a hierarchical Bayesian extension of the p2 model for temporal network data analysis, and apply it to patient referral data batween hospitals, to highlight local collaboration patterns and their variation over time</t>
  </si>
  <si>
    <t>Health information system on elective admission in the region of Sicily</t>
  </si>
  <si>
    <t>Sicily healthcare information system</t>
  </si>
  <si>
    <t>The data underlying this article cannot be shared publicly due to restriction by third party, who is the owner of data. Hence the data cannot be lodged here. Access to the data should be done directly to Assessorato della salute—Regione Siciliana. The study population examined by this study involves the number of patients transferred within hospitals in Sicily. The number of transferred patients examined by this study can be replicated based on the following criteria. An eligible transfer in the period 2014–2018 should involve a patient aged 18+, resident in Sicily and admitted in a Sicilian hospital with the following main diagnostic categories (MDC): 1–13 16 17 18 21 23 24.</t>
  </si>
  <si>
    <t>24 hours delay between end of first stay and beginning of second stay</t>
  </si>
  <si>
    <t>Sicily, Italy</t>
  </si>
  <si>
    <t>Nonemergency transfers only (mais je pense que c'est pour des questions de fiabilité des données)</t>
  </si>
  <si>
    <t>density ; reciprocity</t>
  </si>
  <si>
    <t>density, network reciprocity</t>
  </si>
  <si>
    <t>Rersults indiacte that interhospital collaborative behaviours are primarily local and that collaborative attitudes vary at different time occasions of the considered period and in accordance with the level of competition faced by hospital organisations</t>
  </si>
  <si>
    <t>Donker_2017b</t>
  </si>
  <si>
    <r>
      <t xml:space="preserve">Population genetic structuring of methicillin-resistant </t>
    </r>
    <r>
      <rPr>
        <i/>
        <sz val="11"/>
        <color theme="1"/>
        <rFont val="Calibri"/>
        <family val="2"/>
        <scheme val="minor"/>
      </rPr>
      <t>Staphylococcus aureus</t>
    </r>
    <r>
      <rPr>
        <sz val="11"/>
        <color theme="1"/>
        <rFont val="Calibri"/>
        <family val="2"/>
        <scheme val="minor"/>
      </rPr>
      <t xml:space="preserve"> clone EMRSA-15 within UK reflects patient referral patterns</t>
    </r>
  </si>
  <si>
    <t>Donker T; Reuter S; Scriberras J; Reynolds R; Brown NM; Török ME; James R; Network EOEMR; Aanensen DM; Bentley SD; Holden MTG; Parkhill J; Spratt BG; Peacock SJ; Feil EJ; Grundmann H</t>
  </si>
  <si>
    <t>Microbial genomics</t>
  </si>
  <si>
    <t>Genetics, Microbiology, Epidemiology</t>
  </si>
  <si>
    <r>
      <t xml:space="preserve">To investigate the influence of patient referral networks on the spread of methicillin-resistant </t>
    </r>
    <r>
      <rPr>
        <i/>
        <sz val="11"/>
        <color theme="1"/>
        <rFont val="Calibri"/>
        <family val="2"/>
        <scheme val="minor"/>
      </rPr>
      <t xml:space="preserve">Staphyloccus aureus </t>
    </r>
    <r>
      <rPr>
        <sz val="11"/>
        <color theme="1"/>
        <rFont val="Calibri"/>
        <family val="2"/>
        <scheme val="minor"/>
      </rPr>
      <t xml:space="preserve"> (MRSA) across hospitals in the UK and Ireland using whole-genome sequencing</t>
    </r>
  </si>
  <si>
    <t>community detection with a modularity-maximization algorithm</t>
  </si>
  <si>
    <t>phylogenetic and population genetics analyses</t>
  </si>
  <si>
    <t>pas d'infos sur les caractéristiques du réseau, à mon avis car ils reprennent le réseau des précédents papiers</t>
  </si>
  <si>
    <t>patient referral networks influence the genetic population structure of MRSA across hospitals</t>
  </si>
  <si>
    <t>coordinated regional infection control efforts are crucial to reduce MRSA transmission</t>
  </si>
  <si>
    <t>whole-genome sequencing provides high-resolution insights into bacterial population structure</t>
  </si>
  <si>
    <t>vanNiekerk_2022</t>
  </si>
  <si>
    <r>
      <t xml:space="preserve">Spatiotemporal prediction of vancomycin-resistant </t>
    </r>
    <r>
      <rPr>
        <i/>
        <sz val="11"/>
        <color theme="1"/>
        <rFont val="Calibri"/>
        <family val="2"/>
        <scheme val="minor"/>
      </rPr>
      <t xml:space="preserve">Enterococcus </t>
    </r>
    <r>
      <rPr>
        <sz val="11"/>
        <color theme="1"/>
        <rFont val="Calibri"/>
        <family val="2"/>
        <scheme val="minor"/>
      </rPr>
      <t>colonisation</t>
    </r>
  </si>
  <si>
    <t>van Niekerk JM; Lokate M; Braakman-Jansen LMA; van Gemert-Pijnen JEWC; Stein A</t>
  </si>
  <si>
    <t>BMC Infectious diseases</t>
  </si>
  <si>
    <t>To investigate how patient movements between hospital wards and their antibiotic use can explain the colonisation of pateints with VRE</t>
  </si>
  <si>
    <t>retrospective patient movement data from the University Medical Center Groningen</t>
  </si>
  <si>
    <t>hospital data / electronic health record database</t>
  </si>
  <si>
    <t>The data that support the findings of this study are available from UMCG but restrictions apply to the availability of these data, which were used under license for the current study, and so are not publicly available. Data are however available from the authors upon reasonable request and with of UMCG. permission</t>
  </si>
  <si>
    <t>Hospital</t>
  </si>
  <si>
    <t>données de tests VRE (PCR+cultures)</t>
  </si>
  <si>
    <t>this study showed how the movements of patients inside hospitals and their use of antibiotics could predict the colonisation of pateints with VRE at the ward level</t>
  </si>
  <si>
    <t>Two daily centrality measures were proposed to summarise the flow of patients and antibiotics at the ward level.</t>
  </si>
  <si>
    <t>An early warning system for VRE can be developed to test and further develop infection prevention plans and outbreak strategies using these results.</t>
  </si>
  <si>
    <t>Tahir_2021</t>
  </si>
  <si>
    <t>Relevance of intra-hospital patient movements for the spread of healthcare-associated infections within hospitals - a mathematical modeling study</t>
  </si>
  <si>
    <t>Tahir H; López-Cortés LE; Kola A; Yahav D; Karch A; Xia H; Horn J; Sakowski K; Piotrowska MJ; Leibovici L; Mikolajczyk RT; Kretzschmar ME</t>
  </si>
  <si>
    <t>To analyze intra-hospital patient movement patterns and their implications for the spread of multidrug-resistant Enterobacteriaceae (MDR_E) using mathematical modeling and network analysis</t>
  </si>
  <si>
    <t>Data from five hospitals in Spain, the netherlands, germany and israel</t>
  </si>
  <si>
    <t>Hospital data from five hospitals in different countries</t>
  </si>
  <si>
    <t>Hospital electronic medical record systems</t>
  </si>
  <si>
    <t>Univeristy Medical Center, Utrecht, The Netherlands : 01.01.2014-31.12.2017 ; Hospital Universitario Virgen Macarena, Spain : 01.01.2016-30.01.2017 ; Charité Universitäts medizin, Germany: 01.01.02016-31.12.2016 ; Beilinson Hospital, Isarael : 01.01.2012-31.12.2017 ; Universitäts klinikum Halle, Germany : 01.01.2017-31.12.2017</t>
  </si>
  <si>
    <t>Univeristy Medical Center, Utrecht, The Netherlands : 4 years; Hospital Universitario Virgen Macarena, Spain : 1 year and 1 month ; Charité Universitäts medizin, Germany: 1 year ; Beilinson Hospital, Isarael : 6 years ; Universitäts klinikum Halle, Germany : 1 year</t>
  </si>
  <si>
    <t>(Including both inpatients and outpatients) Univeristy Medical Center, Utrecht, The Netherlands : 326064 ; Hospital Universitario Virgen Macarena, Spain : 37227 ; Charité Universitäts medizin, Germany: 841221 ; Beilinson Hospital, Isarael : 202524 ; Universitäts klinikum Halle, Germany : 47279</t>
  </si>
  <si>
    <t>(Number of patients per year) Univeristy Medical Center, Utrecht, The Netherlands : 30823 ; Hospital Universitario Virgen Macarena, Spain : 26724 ; Charité Universitäts medizin, Germany: 416751 ; Beilinson Hospital, Isarael : 17410 ; Universitäts klinikum Halle, Germany : 32863</t>
  </si>
  <si>
    <t>University Medical Center, Utrecht, The Netherlands ; Hospital Universitario Virgen Macarena, Spain; Charité Universitäts medizin, Germany; Beilinson Hospital, Isarael; Universitäts klinikum Halle, Germany (5 networks)</t>
  </si>
  <si>
    <t>The Netherlands, Spain, Germany, Israel</t>
  </si>
  <si>
    <t>Degree, weighted degree, clustering coefficient, graph density, and network diameter, average path length</t>
  </si>
  <si>
    <t>degree, weighted degree, global clustering coefficient, density, network diameter, average path length</t>
  </si>
  <si>
    <t>uncoordinated contact isolation of infected patients, coordinated intervention where patients moving in and out from the highest weighted degree department were screened and isolated if positive</t>
  </si>
  <si>
    <t>stratified patients by risk (low-risk vs high-risk) (complete network, low risk network, high-risk network) + the model assumes homogeneity within departments</t>
  </si>
  <si>
    <t>intra-hospital movements contribute significantly to pathogen spread, with high-centrality departements like ICU acting as hubs</t>
  </si>
  <si>
    <t>targeted interventions based on network measures improve control measures</t>
  </si>
  <si>
    <t>risk stratification of pateints allows for more efficient allocation of infection control resources</t>
  </si>
  <si>
    <t>Fernandez-Gracia_2017</t>
  </si>
  <si>
    <t>Influence of a patient transfer network of US inpatient facilities on the incidence of nosocomial infections</t>
  </si>
  <si>
    <t>Fernández-Gracia, J; Onnela, J ; Barnett, ML ; Eguíluz, VM; Christakis NA</t>
  </si>
  <si>
    <t>To assess whether a network of hospitals, linked by inpatient transfers, contributes to the spread of nosocomial infectiosn (focusing on Clostridium difficile) and to develop a network-based surveillance system using "sensor" hospitals</t>
  </si>
  <si>
    <t>Medicare provider analysis and review database</t>
  </si>
  <si>
    <t>medicare</t>
  </si>
  <si>
    <r>
      <t xml:space="preserve">Access to this data requires permission from the </t>
    </r>
    <r>
      <rPr>
        <b/>
        <sz val="11"/>
        <color theme="1"/>
        <rFont val="Calibri"/>
        <family val="2"/>
        <scheme val="minor"/>
      </rPr>
      <t>Centers for Medicare and Medicaid Services (CMS)</t>
    </r>
  </si>
  <si>
    <t>(discharge from one facility and admission in the other facility on the same calendar day)</t>
  </si>
  <si>
    <t>General hospitals, rehabilitation facilities, other inpatient facilities</t>
  </si>
  <si>
    <t>21 million</t>
  </si>
  <si>
    <t>10,4 million</t>
  </si>
  <si>
    <t>USA</t>
  </si>
  <si>
    <t>In-degree, out-degree, instrength, outstrength, eigenvector centrality</t>
  </si>
  <si>
    <t>in-degree, out-degree, in-strength, out-strength, eigenvector centrality</t>
  </si>
  <si>
    <t>fractional logistic regression to examine the associations between C. difficile incidence in a hospital and the average incidence in its network neighbors</t>
  </si>
  <si>
    <t>investigation of optimal sensor placement for surveillance of nosocomial infections using centrality metrics (indegree ; outdegree ; eigenvector centrality)</t>
  </si>
  <si>
    <t>this study is limited to medicare patients (65+ years old)</t>
  </si>
  <si>
    <t>the network of patient transfers significantly contributes to the spread of nosocomial infection (here C. difficile) (bc strong correlations in  infection incidence among connected hospitals)</t>
  </si>
  <si>
    <t>A network-based surveillance system can effectively monitor outbreaks, requiring only a small fraction of hospitals as "sensors" to detect the majority of infections.</t>
  </si>
  <si>
    <t>Geographic proximity strongly influences transfer patterns, with 90% of transfers occurring within 200 km.</t>
  </si>
  <si>
    <t>Alexopoulos_2015</t>
  </si>
  <si>
    <t>Monitoring interhospital transfers in Western Greece during 2003-2011 : its role in health policy</t>
  </si>
  <si>
    <t>Alexopoulos EC; Kalyva A; Merekoulias G; Niakas D</t>
  </si>
  <si>
    <t>Rural and Remote Health</t>
  </si>
  <si>
    <t>Analyse interhospital transfers carried out in the Western Greece region over a nine-year period</t>
  </si>
  <si>
    <t>transfer data : National Center of Emergency Medical Services of Patras (EKAB Patras) + data on hospital admissions: site of the Greek Ministry of Health</t>
  </si>
  <si>
    <t>EKAB Patras</t>
  </si>
  <si>
    <t>Ambulance data</t>
  </si>
  <si>
    <t>Ambulance databases</t>
  </si>
  <si>
    <r>
      <t xml:space="preserve">The study was approved by the </t>
    </r>
    <r>
      <rPr>
        <b/>
        <sz val="11"/>
        <color theme="1"/>
        <rFont val="Calibri"/>
        <family val="2"/>
        <scheme val="minor"/>
      </rPr>
      <t>6th Health District Authority (DYPE)</t>
    </r>
    <r>
      <rPr>
        <sz val="11"/>
        <color theme="1"/>
        <rFont val="Calibri"/>
        <family val="2"/>
        <scheme val="minor"/>
      </rPr>
      <t xml:space="preserve">. Specific external access modalities are </t>
    </r>
    <r>
      <rPr>
        <b/>
        <sz val="11"/>
        <color theme="1"/>
        <rFont val="Calibri"/>
        <family val="2"/>
        <scheme val="minor"/>
      </rPr>
      <t>not detailed</t>
    </r>
    <r>
      <rPr>
        <sz val="11"/>
        <color theme="1"/>
        <rFont val="Calibri"/>
        <family val="2"/>
        <scheme val="minor"/>
      </rPr>
      <t>.</t>
    </r>
  </si>
  <si>
    <t>Rural hospitals</t>
  </si>
  <si>
    <t>&gt;20000</t>
  </si>
  <si>
    <t>Western Greece</t>
  </si>
  <si>
    <t>Greece</t>
  </si>
  <si>
    <t>number of transfers per hospital (weighted indegree?)</t>
  </si>
  <si>
    <t>weighted in-degree</t>
  </si>
  <si>
    <t>relationship between transfer rates and other hospital variables</t>
  </si>
  <si>
    <r>
      <t xml:space="preserve">Transfer rates were </t>
    </r>
    <r>
      <rPr>
        <b/>
        <sz val="11"/>
        <color theme="1"/>
        <rFont val="Calibri"/>
        <family val="2"/>
        <scheme val="minor"/>
      </rPr>
      <t>inversely related</t>
    </r>
    <r>
      <rPr>
        <sz val="11"/>
        <color theme="1"/>
        <rFont val="Calibri"/>
        <family val="2"/>
        <scheme val="minor"/>
      </rPr>
      <t xml:space="preserve"> to hospital admission rates, transfer time, and distance between rural and central hospitals.</t>
    </r>
  </si>
  <si>
    <r>
      <t xml:space="preserve">Key infrastructure gaps identified include the </t>
    </r>
    <r>
      <rPr>
        <b/>
        <sz val="11"/>
        <color theme="1"/>
        <rFont val="Calibri"/>
        <family val="2"/>
        <scheme val="minor"/>
      </rPr>
      <t>lack of orthopedists</t>
    </r>
    <r>
      <rPr>
        <sz val="11"/>
        <color theme="1"/>
        <rFont val="Calibri"/>
        <family val="2"/>
        <scheme val="minor"/>
      </rPr>
      <t xml:space="preserve"> in GH Kalavryta and </t>
    </r>
    <r>
      <rPr>
        <b/>
        <sz val="11"/>
        <color theme="1"/>
        <rFont val="Calibri"/>
        <family val="2"/>
        <scheme val="minor"/>
      </rPr>
      <t>absence of CT scanners</t>
    </r>
    <r>
      <rPr>
        <sz val="11"/>
        <color theme="1"/>
        <rFont val="Calibri"/>
        <family val="2"/>
        <scheme val="minor"/>
      </rPr>
      <t xml:space="preserve"> in GH Mesologi, which significantly influenced transfer rates.</t>
    </r>
  </si>
  <si>
    <r>
      <t xml:space="preserve">Monitoring interhospital transfers highlights </t>
    </r>
    <r>
      <rPr>
        <b/>
        <sz val="11"/>
        <color theme="1"/>
        <rFont val="Calibri"/>
        <family val="2"/>
        <scheme val="minor"/>
      </rPr>
      <t>critical areas for health policy interventions</t>
    </r>
    <r>
      <rPr>
        <sz val="11"/>
        <color theme="1"/>
        <rFont val="Calibri"/>
        <family val="2"/>
        <scheme val="minor"/>
      </rPr>
      <t>, such as optimizing staffing, infrastructure, and service distribution.</t>
    </r>
  </si>
  <si>
    <t>author_year</t>
  </si>
  <si>
    <t>title</t>
  </si>
  <si>
    <t>authors</t>
  </si>
  <si>
    <t>year_publi</t>
  </si>
  <si>
    <t>journal</t>
  </si>
  <si>
    <t>subject_journal</t>
  </si>
  <si>
    <t>subject_journal_grp</t>
  </si>
  <si>
    <t>objective</t>
  </si>
  <si>
    <t>database</t>
  </si>
  <si>
    <t>database_grp</t>
  </si>
  <si>
    <t>type_database</t>
  </si>
  <si>
    <t>type_database_grp</t>
  </si>
  <si>
    <t>start_year_database</t>
  </si>
  <si>
    <t>time_range_database_years</t>
  </si>
  <si>
    <t>data_availability</t>
  </si>
  <si>
    <t>network_availability</t>
  </si>
  <si>
    <t>transfer_type</t>
  </si>
  <si>
    <t>transfer_type_notes</t>
  </si>
  <si>
    <t>indirect_transfer_max_delay</t>
  </si>
  <si>
    <t>indirect_transfer_max_delay_notes</t>
  </si>
  <si>
    <t>facilities_types_binary</t>
  </si>
  <si>
    <t>facilities_types_details</t>
  </si>
  <si>
    <t>intra_or_inter</t>
  </si>
  <si>
    <t>nb_facilities</t>
  </si>
  <si>
    <t>nb_facilities_notes</t>
  </si>
  <si>
    <t>nb_units</t>
  </si>
  <si>
    <t>nb_transfers</t>
  </si>
  <si>
    <t>nb_transfers_notes</t>
  </si>
  <si>
    <t>nb_admissions</t>
  </si>
  <si>
    <t>nb_patients</t>
  </si>
  <si>
    <t>scale</t>
  </si>
  <si>
    <t>scale_grp</t>
  </si>
  <si>
    <t>name_location</t>
  </si>
  <si>
    <t>country</t>
  </si>
  <si>
    <t>static_or_temporal</t>
  </si>
  <si>
    <t>if_static_agr_or_avg</t>
  </si>
  <si>
    <t>if_mean_tempscale</t>
  </si>
  <si>
    <t>if_temporal_tempscale</t>
  </si>
  <si>
    <t>static_or_temporal_notes</t>
  </si>
  <si>
    <t>patient_grp_yes_no</t>
  </si>
  <si>
    <t>patient_grp_details</t>
  </si>
  <si>
    <t>descriptive_metrics_network</t>
  </si>
  <si>
    <t>descriptive metrics_grp</t>
  </si>
  <si>
    <t>regression_analyses</t>
  </si>
  <si>
    <t>additional_analysis</t>
  </si>
  <si>
    <t>prop_model_yes_no</t>
  </si>
  <si>
    <t>prop_model_type_binary</t>
  </si>
  <si>
    <t>prop_model_details</t>
  </si>
  <si>
    <t>prop_model_pathogen</t>
  </si>
  <si>
    <t>prop_model_interv_yes_no</t>
  </si>
  <si>
    <t>prop_model_interv_details</t>
  </si>
  <si>
    <t>prop_model_interv_grp</t>
  </si>
  <si>
    <t>epidemio_data_yes_no</t>
  </si>
  <si>
    <t>epidemio_data_details</t>
  </si>
  <si>
    <t>found_how</t>
  </si>
  <si>
    <t>additional_notes</t>
  </si>
  <si>
    <t>ccl1</t>
  </si>
  <si>
    <t>ccl2</t>
  </si>
  <si>
    <t>ccl3</t>
  </si>
  <si>
    <t>AOK Bavaria</t>
  </si>
  <si>
    <t>AOK Plus</t>
  </si>
  <si>
    <t>Bavaria</t>
  </si>
  <si>
    <t>Saxony and Thuringia</t>
  </si>
  <si>
    <t>Xia_2021_sub_Bavaria</t>
  </si>
  <si>
    <t>Xia_2021_sub_LowerSaxony</t>
  </si>
  <si>
    <t>Xia_2024_sub_Bavaria</t>
  </si>
  <si>
    <t>Xia_2024_sub_LowerSaxony</t>
  </si>
  <si>
    <t>Xia_2024_sub_SaxonyThuringia</t>
  </si>
  <si>
    <t>Bergmark_2023_sub_California</t>
  </si>
  <si>
    <t>Bergmark_2023_sub_Florida</t>
  </si>
  <si>
    <t>Peu importe tant que la sortie du premier hôpital et l'entrée dans le deuxième hôpital ont lieu dans la durée de l'étude</t>
  </si>
  <si>
    <t>Justice_2022_sub_California</t>
  </si>
  <si>
    <t>Justice_2022_sub_Iowa</t>
  </si>
  <si>
    <t>Justice_2022_sub_Nebraska</t>
  </si>
  <si>
    <t>Stockholm region</t>
  </si>
  <si>
    <t>Ciccolini_2014_sub_England</t>
  </si>
  <si>
    <t>Ciccolini_2014_sub_Netherlands</t>
  </si>
  <si>
    <t>Dutch National Medical register</t>
  </si>
  <si>
    <t>Piotrowska_2020a_sub_LowerSaxony</t>
  </si>
  <si>
    <t>Piotrowska_2020a_sub_SaxonyThuringia</t>
  </si>
  <si>
    <t>Rankin_2020_sub_OrangeCountyFL</t>
  </si>
  <si>
    <t>Rankin_2020_sub_CentralFlorida</t>
  </si>
  <si>
    <t>Orange County, Florida</t>
  </si>
  <si>
    <t>Spain</t>
  </si>
  <si>
    <t>Israel</t>
  </si>
  <si>
    <t>network</t>
  </si>
  <si>
    <t>2 sites of the same hospital trust(names DH and PRUH). DH : 72 units; PRUH : 72 units</t>
  </si>
  <si>
    <t>Not a network</t>
  </si>
  <si>
    <t>continent</t>
  </si>
  <si>
    <t>Europe</t>
  </si>
  <si>
    <t>North America</t>
  </si>
  <si>
    <t>Asia</t>
  </si>
  <si>
    <t>Oceania</t>
  </si>
  <si>
    <t>les auto-transferts sont le plus gros risque de transmission si la décolonisation est lente</t>
  </si>
  <si>
    <t>la structure du réseau influence les dynamiques de transmission</t>
  </si>
  <si>
    <t>la durée moyenne de séjour est plus corrélée à la prévalence finale que la taille des hôpitaux</t>
  </si>
  <si>
    <t>Les indicateurs de qualité hospitalière devraient intégrer la structure du réseau pour mieux refléter la performance réelle.</t>
  </si>
  <si>
    <t>La position dans le réseau inter-hospitalier influence les résultats indépendamment des caractéristiques des patients.</t>
  </si>
  <si>
    <t>Les hôpitaux périphériques et très centraux ont une mortalité et une durée de séjour plus élevées que les intermédiaires</t>
  </si>
  <si>
    <t>Tahir_2021_sub_Utrecht</t>
  </si>
  <si>
    <t>Tahir_2021_sub_Seville</t>
  </si>
  <si>
    <t>Tahir_2021_sub_Berlin</t>
  </si>
  <si>
    <t>Tahir_2021_sub_PetahTikva</t>
  </si>
  <si>
    <t>Tahir_2021_sub_Halle</t>
  </si>
  <si>
    <t>Xia_2021_sub_SaxonyThuringia</t>
  </si>
  <si>
    <t>Any time within the period covered by the data</t>
  </si>
  <si>
    <t>(durée maximale supposée d'après les autres articles sur le même réseau)</t>
  </si>
  <si>
    <t>(Probably? Not clear)</t>
  </si>
  <si>
    <t>New South Wales, Western Australia, Queensland, South Australia</t>
  </si>
  <si>
    <t>hospital managed by the LHA, hospital trust, teaching and research hospital, and private accredited hospital</t>
  </si>
  <si>
    <t>11116 cross border hospital transfers (mais cela n'inclut pas tous les transferts, il y en a qui ne sont pas cross-border)</t>
  </si>
  <si>
    <t>Debrecen</t>
  </si>
  <si>
    <t>Groningen</t>
  </si>
  <si>
    <t>California</t>
  </si>
  <si>
    <t>Drenthe</t>
  </si>
  <si>
    <t>Iowa</t>
  </si>
  <si>
    <t>Nebraska</t>
  </si>
  <si>
    <t>Petah Tikva</t>
  </si>
  <si>
    <t>Central Florida</t>
  </si>
  <si>
    <t>Berlin</t>
  </si>
  <si>
    <t>Halle</t>
  </si>
  <si>
    <t>Seville</t>
  </si>
  <si>
    <t>Utrecht</t>
  </si>
  <si>
    <t>New South Wales and Western Australia and Queensland and South Australia</t>
  </si>
  <si>
    <t>Sicily</t>
  </si>
  <si>
    <t>Orange County, California</t>
  </si>
  <si>
    <t>Florida</t>
  </si>
  <si>
    <t>New-York City</t>
  </si>
  <si>
    <t>Ontario</t>
  </si>
  <si>
    <t>Abruzzo</t>
  </si>
  <si>
    <t>Stockholm</t>
  </si>
  <si>
    <t>Fujian</t>
  </si>
  <si>
    <t>autotransfers_included</t>
  </si>
  <si>
    <t>Excluded</t>
  </si>
  <si>
    <t>autotransfers exclus probablement (d'après la figure et texcte "had an episode in a hospital and readmitted to a different hosptial")7</t>
  </si>
  <si>
    <t>Included</t>
  </si>
  <si>
    <t>autotransfers inclus (car dans leur modèle, ils font la matrice de probabilités de transferts en fonction des données réelles. Ils peuvent choisir d'inclure ou non ces autotransferts)</t>
  </si>
  <si>
    <t>autotransfers non mentionné mais probablement exclu (pas de self-loop dans le réseau)</t>
  </si>
  <si>
    <t>autotransfers non mentionné mais probablement exclu (pas de self-loop dans le réseau). 1. Direct = an episode of care where a patient was discharged from one hospital and transferred to another hospital in a different jurisdiction (max 48 hours) 2. indirect (="movers") patients who had hospital stays in two different states, but not as part of a single hospital transfer.</t>
  </si>
  <si>
    <t>Not mentionned, probably excluded</t>
  </si>
  <si>
    <t>sentinel surveillance system (immediate detection of a pathogen in these hospitals)</t>
  </si>
  <si>
    <t>Pennsylvania</t>
  </si>
  <si>
    <t>California-c</t>
  </si>
  <si>
    <t>California-b</t>
  </si>
  <si>
    <t>California-a</t>
  </si>
  <si>
    <t>France-b</t>
  </si>
  <si>
    <t>England-a</t>
  </si>
  <si>
    <t>England-b</t>
  </si>
  <si>
    <t>France-a</t>
  </si>
  <si>
    <t>epidemio_data_categ</t>
  </si>
  <si>
    <t>A hybrid approach to model hospitals and evaluate wards' performances</t>
  </si>
  <si>
    <t>ARSINEH BOODAGHIAN ASL 1,2, LUCA MARZANO 1 , JAYANTH RAGHOTHAMA 1 , ADAM S. DARWICH 1 , NINA FALK3 , PATRIK BODEBY3 , AND SEBASTIAAN MEIJER 1</t>
  </si>
  <si>
    <t>IEEE Access</t>
  </si>
  <si>
    <t>propose an approach to model patient flow between hospital wards via a hybrid approach (multi-agent simulation + network naalysis) to identify bottlenecks and evaluate ward performance</t>
  </si>
  <si>
    <t>Uppsala</t>
  </si>
  <si>
    <t>Uppsala University Hospital database</t>
  </si>
  <si>
    <t>Network not avaialable (des échantillons sont fournis pour exemple)</t>
  </si>
  <si>
    <t>le fait de réoganiser les flux de aptients au sein d'un hôpital peut améliorer la performance globale</t>
  </si>
  <si>
    <t>A dynamic nonlinear flow algorithm to model patient flow</t>
  </si>
  <si>
    <t>Arsineh Boodaghian Asl, Jayanth Raghothama, Adam S. Darwich &amp; Sebastiaan Meijer</t>
  </si>
  <si>
    <t>To develop a dynamic nonlinear flow algorithm to model patient flows across hospital wards (++bottlenecks)</t>
  </si>
  <si>
    <t>équation de recherche actualisée</t>
  </si>
  <si>
    <t>Donvito_2025</t>
  </si>
  <si>
    <t>Impact of the SARS-CoV-2 pandemic on hospital robustness to the spread of antibiotic-resistant bacteria in a large German university hospital</t>
  </si>
  <si>
    <t>G. Donvito,F.Burkin, T. Donker</t>
  </si>
  <si>
    <t>Journal of Hospital infection</t>
  </si>
  <si>
    <t>To investigate gow the COVID-19 pandemic and hospital reorganization affected the intrahospital patient transfer network and its robustness to the simulated spread of antibiotic-resistant bacteria</t>
  </si>
  <si>
    <t>Freiburg</t>
  </si>
  <si>
    <t>Freiburg hospital database</t>
  </si>
  <si>
    <t>indegree, instrength</t>
  </si>
  <si>
    <t>Lapp_2023</t>
  </si>
  <si>
    <t>Lapp_2023_sub_Minnesota</t>
  </si>
  <si>
    <t>Lapp_2023_sub_Tennessee</t>
  </si>
  <si>
    <t>Lapp_2023_sub_Connecticut</t>
  </si>
  <si>
    <t>Distinct Origins and Transmission Pathways of blaKPC Enterobacterales across Three U.S. States</t>
  </si>
  <si>
    <t>Zena Lapp, Rany Octariab,c, Sean M. O’Malleyd, Tu Ngoc Nguyene, Hannah Wolfordf, Ryan Crawforda, Christina Moorec, Paula Snippes Vagnoned, Diane Noele, Nadezhda Duffyf, Ali Piranig, Linda S. Thomasc, Brittany Patteed, Claire Pearsone, Sandra N. Bulensf, Sophie Hoffmana, Marion Kainerc, Melissa Anackerd, James Meekh, Isaac Seef, Kyle J. Gontjesg, Allison Chanc, Ruth Lynfieldd, Meghan Maloneye, Mary K. Haydeni,j, Evan Snitkin, Rachel B. Slaytonf</t>
  </si>
  <si>
    <t>Minnesota</t>
  </si>
  <si>
    <t>Tennessee</t>
  </si>
  <si>
    <t>Connecticut</t>
  </si>
  <si>
    <t>Journal of Clinical Microbiology</t>
  </si>
  <si>
    <t>To assess the origins and transmission pathoways of a pathogen in three US states (using genomic surveillance)</t>
  </si>
  <si>
    <t>Connecticut, Minnesota and Tennessee</t>
  </si>
  <si>
    <t>CMS patient claims data</t>
  </si>
  <si>
    <t>ACH, LTACH, SNF, other</t>
  </si>
  <si>
    <t>l'utilisation combinée de données génomiques et de données de transferts de patients permet de faire une isurveillance efficace pour identifier des hotspots etc.</t>
  </si>
  <si>
    <t>Octaria_2025</t>
  </si>
  <si>
    <t>Improving containment and prevention strategies using a patient transfer network representative of patients with multidrug-resistant organisms</t>
  </si>
  <si>
    <t>Rany Octaria, Stephen Deppen, Allison Chan, James C. Slaughter, Pamela Talley, Rachel B. Slayton, Peter F. Rebeiro and Marion A. Kainer</t>
  </si>
  <si>
    <t>Evaluate whether a patient trnasfer network built from inpatients with similar risk profiles to confirmed CRE cases better predicts hsoptial-elvel CRE prevalence than networks based on all inpatients in Tennessee</t>
  </si>
  <si>
    <t>Tennessee Hospital Discharge Data System</t>
  </si>
  <si>
    <t>ACHs, LTACHs, IRFs (inpatient rehabilitation facility), CAHs (critical access hospitals), psychiatric hospitals</t>
  </si>
  <si>
    <r>
      <t xml:space="preserve">The </t>
    </r>
    <r>
      <rPr>
        <b/>
        <sz val="11"/>
        <color theme="1"/>
        <rFont val="Calibri"/>
        <family val="2"/>
        <scheme val="minor"/>
      </rPr>
      <t>CRE-surrogate network</t>
    </r>
    <r>
      <rPr>
        <sz val="11"/>
        <color theme="1"/>
        <rFont val="Calibri"/>
        <family val="2"/>
        <scheme val="minor"/>
      </rPr>
      <t xml:space="preserve"> reflected the CRE case-patient network structure more accurately than networks of all inpatients or Medicare/TennCare patients.</t>
    </r>
  </si>
  <si>
    <t>Michelson_2025</t>
  </si>
  <si>
    <t>Network analysis to define pediatric acute care regions in Wisconsin</t>
  </si>
  <si>
    <t>Kenneth A. Michelson1 | Katherine E. Remick2 | Emily M. Bucholz3 | Patrick D. McMullen4 | Naveen Singamsetty4 |Andrew D. Skol4 | Danielle K. Cory1 | John A. Graves5</t>
  </si>
  <si>
    <t>Health Services Research</t>
  </si>
  <si>
    <t>To use network analysis of pediatric hospital-to-hospital transfers to identify and define natural pediatric referral regions (PERRs) across Wisconsin, supporting coordinated regional pediatric care.</t>
  </si>
  <si>
    <t>Wisconsin</t>
  </si>
  <si>
    <t>HCUP - Wisconsin State Inpatient Database</t>
  </si>
  <si>
    <t>only pediatric transfers</t>
  </si>
  <si>
    <t>degree, weighted degree, modularity, density</t>
  </si>
  <si>
    <t>Asl_2025a</t>
  </si>
  <si>
    <t>Asl_2025b</t>
  </si>
  <si>
    <t>différents en fct des réseaux</t>
  </si>
  <si>
    <t>density, reciprocity, diameter, mean geodesic distance, in-degree, weighted in-degree, out-degree, weighted out-degree, betweenness, eigenvector centrality</t>
  </si>
  <si>
    <t>Atlanta Metropolitan Area</t>
  </si>
  <si>
    <r>
      <t>Regional cooperation and proactive control measures are essential to mitigating the extensive impact of such outbreaks</t>
    </r>
    <r>
      <rPr>
        <sz val="11"/>
        <color theme="1"/>
        <rFont val="Calibri"/>
        <family val="2"/>
        <scheme val="minor"/>
      </rPr>
      <t>​</t>
    </r>
  </si>
  <si>
    <r>
      <t>Community stays play a major role in pathogen transmission</t>
    </r>
    <r>
      <rPr>
        <sz val="11"/>
        <color theme="1"/>
        <rFont val="Calibri"/>
        <family val="2"/>
        <scheme val="minor"/>
      </rPr>
      <t>, as 99% of transfers involve the community rather than direct hospital-to-hospital movements.</t>
    </r>
  </si>
  <si>
    <r>
      <t>Screening at admission can halve prevalence within ~100 days if 30-40% of patients are screened</t>
    </r>
    <r>
      <rPr>
        <sz val="11"/>
        <color theme="1"/>
        <rFont val="Calibri"/>
        <family val="2"/>
        <scheme val="minor"/>
      </rPr>
      <t>.</t>
    </r>
  </si>
  <si>
    <r>
      <t>The effectiveness of control measures depends on network structure</t>
    </r>
    <r>
      <rPr>
        <sz val="11"/>
        <color theme="1"/>
        <rFont val="Calibri"/>
        <family val="2"/>
        <scheme val="minor"/>
      </rPr>
      <t>, with modular hospital connections influencing spread dynamics.</t>
    </r>
  </si>
  <si>
    <r>
      <t>Community stays extend the transmission network</t>
    </r>
    <r>
      <rPr>
        <sz val="11"/>
        <color theme="1"/>
        <rFont val="Calibri"/>
        <family val="2"/>
        <scheme val="minor"/>
      </rPr>
      <t>—ignoring them underestimates outbreak sizes.</t>
    </r>
  </si>
  <si>
    <r>
      <t>Targeting high in-degree hospitals (major receivers of patients) is more effective</t>
    </r>
    <r>
      <rPr>
        <sz val="11"/>
        <color theme="1"/>
        <rFont val="Calibri"/>
        <family val="2"/>
        <scheme val="minor"/>
      </rPr>
      <t xml:space="preserve"> for outbreak control than targeting high out-degree hospitals.</t>
    </r>
  </si>
  <si>
    <r>
      <t>Hospitals that cooperate in infection control reduce MRSA prevalence more effectively than acting alone</t>
    </r>
    <r>
      <rPr>
        <sz val="11"/>
        <color theme="1"/>
        <rFont val="Calibri"/>
        <family val="2"/>
        <scheme val="minor"/>
      </rPr>
      <t>.</t>
    </r>
  </si>
  <si>
    <r>
      <t>Doubling the number of hospitals implementing MRSA screening and isolation leads to more than double the infection reduction</t>
    </r>
    <r>
      <rPr>
        <sz val="11"/>
        <color theme="1"/>
        <rFont val="Calibri"/>
        <family val="2"/>
        <scheme val="minor"/>
      </rPr>
      <t>.</t>
    </r>
  </si>
  <si>
    <r>
      <t>Contact isolation compliance is as crucial as increasing hospital participation in interventions</t>
    </r>
    <r>
      <rPr>
        <sz val="11"/>
        <color theme="1"/>
        <rFont val="Calibri"/>
        <family val="2"/>
        <scheme val="minor"/>
      </rPr>
      <t>.</t>
    </r>
  </si>
  <si>
    <r>
      <t>Changes in length of stay, readmission rates, and transmission rates significantly impact MRSA prevalence</t>
    </r>
    <r>
      <rPr>
        <sz val="11"/>
        <color theme="1"/>
        <rFont val="Calibri"/>
        <family val="2"/>
        <scheme val="minor"/>
      </rPr>
      <t>.</t>
    </r>
  </si>
  <si>
    <r>
      <t>Simulation tools like RHEA can help policymakers test interventions before real-world implementation</t>
    </r>
    <r>
      <rPr>
        <sz val="11"/>
        <color theme="1"/>
        <rFont val="Calibri"/>
        <family val="2"/>
        <scheme val="minor"/>
      </rPr>
      <t>.</t>
    </r>
  </si>
  <si>
    <r>
      <t xml:space="preserve">Contact precautions </t>
    </r>
    <r>
      <rPr>
        <sz val="11"/>
        <color theme="1"/>
        <rFont val="Calibri"/>
        <family val="2"/>
        <scheme val="minor"/>
      </rPr>
      <t>only for clinically apparent MRSA infections had minimal effect on MRSA spread.</t>
    </r>
  </si>
  <si>
    <r>
      <t xml:space="preserve">Extending </t>
    </r>
    <r>
      <rPr>
        <sz val="11"/>
        <color theme="1"/>
        <rFont val="Calibri"/>
        <family val="2"/>
        <scheme val="minor"/>
      </rPr>
      <t>contact precautions to all known MRSA carriers significantly reduced MRSA prevalence in both nursing homes (14.2% median reduction) and hospitals (2.3% median reduction).</t>
    </r>
  </si>
  <si>
    <r>
      <t>Regional cooperation between hospitals and nursing homes</t>
    </r>
    <r>
      <rPr>
        <sz val="11"/>
        <color theme="1"/>
        <rFont val="Calibri"/>
        <family val="2"/>
        <scheme val="minor"/>
      </rPr>
      <t xml:space="preserve"> in infection control is essential to reducing MRSA burden.</t>
    </r>
  </si>
  <si>
    <r>
      <t>Long-term acute-care hospitals (LTACHs) were key drivers</t>
    </r>
    <r>
      <rPr>
        <sz val="11"/>
        <color theme="1"/>
        <rFont val="Calibri"/>
        <family val="2"/>
        <scheme val="minor"/>
      </rPr>
      <t xml:space="preserve"> of CRE spread due to high patient turnover and interfacility transfers.</t>
    </r>
  </si>
  <si>
    <r>
      <t>A nationwide intervention strategy could prevent 619,000 antibiotic-resistant HAIs and 37,000 deaths over 5 years</t>
    </r>
    <r>
      <rPr>
        <sz val="11"/>
        <color theme="1"/>
        <rFont val="Calibri"/>
        <family val="2"/>
        <scheme val="minor"/>
      </rPr>
      <t>.</t>
    </r>
  </si>
  <si>
    <r>
      <t>Coordinated regional control was more effective than independent facility-based efforts</t>
    </r>
    <r>
      <rPr>
        <sz val="11"/>
        <color theme="1"/>
        <rFont val="Calibri"/>
        <family val="2"/>
        <scheme val="minor"/>
      </rPr>
      <t>, reducing CRE prevalence by 74% (5-year, 10-facility model) and 55% (15-year, 102-facility model).</t>
    </r>
  </si>
  <si>
    <r>
      <t>Public health–led coordinated interventions significantly reduce interfacility transmission</t>
    </r>
    <r>
      <rPr>
        <sz val="11"/>
        <color theme="1"/>
        <rFont val="Calibri"/>
        <family val="2"/>
        <scheme val="minor"/>
      </rPr>
      <t xml:space="preserve"> and optimize infection control resource allocation.</t>
    </r>
  </si>
  <si>
    <t>degree and closeness metrics correlate with hospital infection risk, offering tools for targeted infection prevention strategies</t>
  </si>
  <si>
    <t>California and Florida</t>
  </si>
  <si>
    <t>England-a and Netherlands</t>
  </si>
  <si>
    <t>Stochastic, discrete-event agent-bassed computational model</t>
  </si>
  <si>
    <t>Stochastic agent-bassed computational model</t>
  </si>
  <si>
    <t>Enterobacterales</t>
  </si>
  <si>
    <t xml:space="preserve">2314477 unique patients. </t>
  </si>
  <si>
    <t>66527638 care episodes.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</si>
</sst>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sz val="10"/>
      <color theme="1"/>
      <name val="Arial Unicode MS"/>
      <family val="2"/>
    </font>
    <font>
      <i/>
      <sz val="11"/>
      <color theme="1"/>
      <name val="Calibri"/>
      <family val="2"/>
      <scheme val="minor"/>
    </font>
    <font>
      <sz val="10"/>
      <color rgb="FF131413"/>
      <name val="Arial"/>
      <family val="2"/>
    </font>
    <font>
      <sz val="11"/>
      <color rgb="FF222222"/>
      <name val="Segoe UI"/>
      <family val="2"/>
    </font>
    <font>
      <sz val="10"/>
      <color theme="1"/>
      <name val="Calibri"/>
      <family val="2"/>
      <scheme val="minor"/>
    </font>
    <font>
      <sz val="11"/>
      <color rgb="FF1B1B1B"/>
      <name val="Calibri"/>
      <family val="2"/>
      <scheme val="minor"/>
    </font>
    <font>
      <sz val="11"/>
      <color rgb="FF000000"/>
      <name val="Calibri"/>
      <family val="2"/>
      <scheme val="minor"/>
    </font>
    <font>
      <sz val="8"/>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5" tint="0.39997558519241921"/>
        <bgColor indexed="64"/>
      </patternFill>
    </fill>
    <fill>
      <patternFill patternType="solid">
        <fgColor theme="0" tint="-0.149998474074526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2" tint="-0.249977111117893"/>
        <bgColor indexed="64"/>
      </patternFill>
    </fill>
  </fills>
  <borders count="9">
    <border>
      <left/>
      <right/>
      <top/>
      <bottom/>
      <diagonal/>
    </border>
    <border>
      <left style="medium">
        <color rgb="FFFFFFFF"/>
      </left>
      <right style="medium">
        <color rgb="FFFFFFFF"/>
      </right>
      <top style="medium">
        <color rgb="FFFFFFFF"/>
      </top>
      <bottom style="medium">
        <color rgb="FFFFFFFF"/>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s>
  <cellStyleXfs count="1">
    <xf numFmtId="0" fontId="0" fillId="0" borderId="0"/>
  </cellStyleXfs>
  <cellXfs count="56">
    <xf numFmtId="0" fontId="0" fillId="0" borderId="0" xfId="0"/>
    <xf numFmtId="0" fontId="0" fillId="0" borderId="1" xfId="0" applyBorder="1"/>
    <xf numFmtId="0" fontId="0" fillId="0" borderId="1" xfId="0"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2" borderId="4" xfId="0" applyFont="1" applyFill="1" applyBorder="1" applyAlignment="1">
      <alignment wrapText="1"/>
    </xf>
    <xf numFmtId="0" fontId="1" fillId="2" borderId="2" xfId="0" applyFont="1" applyFill="1" applyBorder="1" applyAlignment="1">
      <alignment wrapText="1"/>
    </xf>
    <xf numFmtId="0" fontId="1" fillId="4" borderId="2" xfId="0" applyFont="1" applyFill="1" applyBorder="1" applyAlignment="1">
      <alignment wrapText="1"/>
    </xf>
    <xf numFmtId="0" fontId="1" fillId="0" borderId="4" xfId="0" applyFont="1" applyBorder="1" applyAlignment="1">
      <alignment wrapText="1"/>
    </xf>
    <xf numFmtId="0" fontId="1" fillId="0" borderId="5" xfId="0" applyFont="1" applyBorder="1" applyAlignment="1">
      <alignment wrapText="1"/>
    </xf>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0" borderId="6" xfId="0" applyBorder="1"/>
    <xf numFmtId="0" fontId="0" fillId="4" borderId="6" xfId="0" applyFill="1" applyBorder="1"/>
    <xf numFmtId="0" fontId="0" fillId="0" borderId="7" xfId="0" applyBorder="1"/>
    <xf numFmtId="0" fontId="0" fillId="0" borderId="7" xfId="0" applyBorder="1" applyAlignment="1">
      <alignment wrapText="1"/>
    </xf>
    <xf numFmtId="0" fontId="0" fillId="0" borderId="8" xfId="0" applyBorder="1" applyAlignment="1">
      <alignment wrapText="1"/>
    </xf>
    <xf numFmtId="0" fontId="2" fillId="0" borderId="0" xfId="0" quotePrefix="1" applyFont="1" applyAlignment="1">
      <alignment vertical="center"/>
    </xf>
    <xf numFmtId="0" fontId="0" fillId="0" borderId="6" xfId="0" applyBorder="1" applyAlignment="1">
      <alignment wrapText="1"/>
    </xf>
    <xf numFmtId="0" fontId="0" fillId="2" borderId="7" xfId="0" applyFill="1" applyBorder="1" applyAlignment="1">
      <alignment wrapText="1"/>
    </xf>
    <xf numFmtId="0" fontId="0" fillId="4" borderId="0" xfId="0" applyFill="1"/>
    <xf numFmtId="0" fontId="0" fillId="2" borderId="0" xfId="0" applyFill="1"/>
    <xf numFmtId="0" fontId="0" fillId="0" borderId="8" xfId="0" applyBorder="1"/>
    <xf numFmtId="0" fontId="1" fillId="0" borderId="0" xfId="0" applyFont="1"/>
    <xf numFmtId="0" fontId="0" fillId="3" borderId="0" xfId="0" applyFill="1"/>
    <xf numFmtId="0" fontId="0" fillId="0" borderId="6" xfId="0" applyBorder="1" applyAlignment="1">
      <alignment horizontal="left" vertical="center" indent="1"/>
    </xf>
    <xf numFmtId="0" fontId="0" fillId="0" borderId="0" xfId="0" applyAlignment="1">
      <alignment vertical="center"/>
    </xf>
    <xf numFmtId="0" fontId="2" fillId="0" borderId="0" xfId="0" applyFont="1" applyAlignment="1">
      <alignment vertical="center"/>
    </xf>
    <xf numFmtId="0" fontId="0" fillId="4" borderId="8" xfId="0" applyFill="1" applyBorder="1"/>
    <xf numFmtId="0" fontId="4" fillId="0" borderId="0" xfId="0" applyFont="1" applyAlignment="1">
      <alignment vertical="center"/>
    </xf>
    <xf numFmtId="0" fontId="0" fillId="6" borderId="0" xfId="0" applyFill="1"/>
    <xf numFmtId="0" fontId="5" fillId="0" borderId="0" xfId="0" applyFont="1"/>
    <xf numFmtId="20" fontId="0" fillId="0" borderId="0" xfId="0" applyNumberFormat="1"/>
    <xf numFmtId="0" fontId="6" fillId="0" borderId="7" xfId="0" applyFont="1" applyBorder="1"/>
    <xf numFmtId="0" fontId="0" fillId="0" borderId="0" xfId="0" applyAlignment="1">
      <alignment horizontal="left" vertical="center" indent="1"/>
    </xf>
    <xf numFmtId="0" fontId="0" fillId="7" borderId="0" xfId="0" applyFill="1"/>
    <xf numFmtId="0" fontId="0" fillId="0" borderId="0" xfId="0" applyAlignment="1">
      <alignment horizontal="left" indent="1"/>
    </xf>
    <xf numFmtId="0" fontId="0" fillId="8" borderId="0" xfId="0" applyFill="1"/>
    <xf numFmtId="0" fontId="0" fillId="2" borderId="7" xfId="0" applyFill="1" applyBorder="1"/>
    <xf numFmtId="0" fontId="0" fillId="5" borderId="0" xfId="0" applyFill="1"/>
    <xf numFmtId="0" fontId="7" fillId="0" borderId="0" xfId="0" applyFont="1" applyAlignment="1">
      <alignment vertical="center" wrapText="1"/>
    </xf>
    <xf numFmtId="0" fontId="0" fillId="9" borderId="7" xfId="0" applyFill="1" applyBorder="1" applyAlignment="1">
      <alignment wrapText="1"/>
    </xf>
    <xf numFmtId="0" fontId="8" fillId="0" borderId="0" xfId="0" applyFont="1" applyAlignment="1">
      <alignment horizontal="left" wrapText="1" readingOrder="1"/>
    </xf>
    <xf numFmtId="0" fontId="1" fillId="0" borderId="0" xfId="0" applyFont="1" applyAlignment="1">
      <alignment wrapText="1"/>
    </xf>
    <xf numFmtId="0" fontId="1" fillId="0" borderId="8" xfId="0" applyFont="1" applyBorder="1"/>
    <xf numFmtId="0" fontId="2" fillId="0" borderId="0" xfId="0" quotePrefix="1" applyFont="1" applyAlignment="1">
      <alignment vertical="center" wrapText="1"/>
    </xf>
    <xf numFmtId="0" fontId="2" fillId="0" borderId="0" xfId="0" applyFont="1" applyAlignment="1">
      <alignment vertical="center" wrapText="1"/>
    </xf>
    <xf numFmtId="0" fontId="0" fillId="0" borderId="2" xfId="0" applyBorder="1" applyAlignment="1">
      <alignment wrapText="1"/>
    </xf>
    <xf numFmtId="0" fontId="0" fillId="0" borderId="0" xfId="0" applyBorder="1" applyAlignment="1">
      <alignment wrapText="1"/>
    </xf>
    <xf numFmtId="0" fontId="0" fillId="0" borderId="0" xfId="0" applyBorder="1"/>
    <xf numFmtId="0" fontId="0" fillId="2" borderId="0" xfId="0" applyFill="1" applyBorder="1" applyAlignment="1">
      <alignment wrapText="1"/>
    </xf>
    <xf numFmtId="0" fontId="0" fillId="4" borderId="0" xfId="0" applyFill="1" applyBorder="1"/>
    <xf numFmtId="0" fontId="0" fillId="2" borderId="0" xfId="0" applyFill="1" applyBorder="1"/>
    <xf numFmtId="0" fontId="0" fillId="4" borderId="0" xfId="0" applyFill="1" applyBorder="1" applyAlignment="1">
      <alignment wrapText="1"/>
    </xf>
  </cellXfs>
  <cellStyles count="1">
    <cellStyle name="Normal" xfId="0" builtinId="0"/>
  </cellStyles>
  <dxfs count="37">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border diagonalUp="0" diagonalDown="0">
        <left style="medium">
          <color indexed="64"/>
        </left>
        <right style="medium">
          <color indexed="64"/>
        </right>
        <top/>
        <bottom/>
        <vertical/>
        <horizontal/>
      </border>
    </dxf>
    <dxf>
      <border diagonalUp="0" diagonalDown="0" outline="0">
        <left/>
        <right style="medium">
          <color indexed="64"/>
        </right>
        <top/>
        <bottom/>
      </border>
    </dxf>
    <dxf>
      <fill>
        <patternFill patternType="solid">
          <fgColor indexed="64"/>
          <bgColor theme="0" tint="-0.14999847407452621"/>
        </patternFill>
      </fill>
    </dxf>
    <dxf>
      <border diagonalUp="0" diagonalDown="0">
        <left style="medium">
          <color indexed="64"/>
        </left>
        <right/>
        <top/>
        <bottom/>
        <vertical/>
        <horizontal/>
      </border>
    </dxf>
    <dxf>
      <border diagonalUp="0" diagonalDown="0">
        <left/>
        <right style="medium">
          <color indexed="64"/>
        </right>
        <top/>
        <bottom/>
        <vertical/>
        <horizontal/>
      </border>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border diagonalUp="0" diagonalDown="0" outline="0">
        <left style="medium">
          <color indexed="64"/>
        </left>
        <right/>
        <top/>
        <bottom/>
      </border>
    </dxf>
    <dxf>
      <border diagonalUp="0" diagonalDown="0">
        <left/>
        <right style="medium">
          <color indexed="64"/>
        </right>
        <top/>
        <bottom/>
        <vertical/>
        <horizontal/>
      </border>
    </dxf>
    <dxf>
      <border diagonalUp="0" diagonalDown="0">
        <left style="medium">
          <color indexed="64"/>
        </left>
        <right/>
        <top/>
        <bottom/>
        <vertical/>
        <horizontal/>
      </border>
    </dxf>
    <dxf>
      <border diagonalUp="0" diagonalDown="0">
        <left/>
        <right style="medium">
          <color indexed="64"/>
        </right>
        <top/>
        <bottom/>
        <vertical/>
        <horizontal/>
      </border>
    </dxf>
    <dxf>
      <fill>
        <patternFill patternType="none">
          <fgColor indexed="64"/>
          <bgColor indexed="65"/>
        </patternFill>
      </fill>
    </dxf>
    <dxf>
      <fill>
        <patternFill patternType="none">
          <fgColor indexed="64"/>
          <bgColor indexed="65"/>
        </patternFill>
      </fill>
    </dxf>
    <dxf>
      <fill>
        <patternFill patternType="solid">
          <fgColor indexed="64"/>
          <bgColor theme="0" tint="-0.14999847407452621"/>
        </patternFill>
      </fill>
    </dxf>
    <dxf>
      <fill>
        <patternFill patternType="solid">
          <fgColor indexed="64"/>
          <bgColor theme="0" tint="-0.14999847407452621"/>
        </patternFill>
      </fill>
    </dxf>
    <dxf>
      <fill>
        <patternFill patternType="solid">
          <fgColor indexed="64"/>
          <bgColor theme="0" tint="-0.14999847407452621"/>
        </patternFill>
      </fill>
    </dxf>
    <dxf>
      <fill>
        <patternFill patternType="none">
          <fgColor indexed="64"/>
          <bgColor auto="1"/>
        </patternFill>
      </fill>
    </dxf>
    <dxf>
      <fill>
        <patternFill patternType="solid">
          <fgColor indexed="64"/>
          <bgColor theme="0" tint="-0.14999847407452621"/>
        </patternFill>
      </fill>
    </dxf>
    <dxf>
      <fill>
        <patternFill>
          <fgColor indexed="64"/>
          <bgColor theme="0" tint="-0.14999847407452621"/>
        </patternFill>
      </fill>
    </dxf>
    <dxf>
      <alignment horizontal="general" vertical="bottom" textRotation="0" wrapText="1" indent="0" justifyLastLine="0" shrinkToFit="0" readingOrder="0"/>
    </dxf>
    <dxf>
      <fill>
        <patternFill patternType="solid">
          <fgColor indexed="64"/>
          <bgColor theme="0" tint="-0.249977111117893"/>
        </patternFill>
      </fill>
      <alignment horizontal="general" vertical="bottom" textRotation="0" wrapText="1" indent="0" justifyLastLine="0" shrinkToFit="0" readingOrder="0"/>
    </dxf>
    <dxf>
      <alignment horizontal="general" vertical="bottom" textRotation="0" wrapText="1" indent="0" justifyLastLine="0" shrinkToFit="0" readingOrder="0"/>
    </dxf>
    <dxf>
      <fill>
        <patternFill patternType="solid">
          <fgColor indexed="64"/>
          <bgColor theme="0" tint="-0.249977111117893"/>
        </patternFill>
      </fill>
      <alignment horizontal="general" vertical="bottom" textRotation="0" wrapText="1" indent="0" justifyLastLine="0" shrinkToFit="0" readingOrder="0"/>
      <border diagonalUp="0" diagonalDown="0" outline="0">
        <left style="medium">
          <color indexed="64"/>
        </left>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left/>
        <right style="medium">
          <color indexed="64"/>
        </right>
        <top/>
        <bottom/>
        <vertical/>
        <horizontal/>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234209-000F-4083-8F59-7A4627BAD561}" name="Tableau1" displayName="Tableau1" ref="A1:BK105" totalsRowShown="0" headerRowDxfId="36" dataDxfId="34" headerRowBorderDxfId="35">
  <autoFilter ref="A1:BK105" xr:uid="{0A234209-000F-4083-8F59-7A4627BAD561}"/>
  <sortState xmlns:xlrd2="http://schemas.microsoft.com/office/spreadsheetml/2017/richdata2" ref="A2:BK105">
    <sortCondition ref="A1:A105"/>
  </sortState>
  <tableColumns count="63">
    <tableColumn id="4" xr3:uid="{D96C3F57-F34A-42FA-AB0C-6543F924C192}" name="author_year"/>
    <tableColumn id="5" xr3:uid="{A3826C7A-C40B-4688-B0E4-0DC1E0346645}" name="title" dataDxfId="33"/>
    <tableColumn id="6" xr3:uid="{5FA18405-7C60-4EBE-82B7-83D3B5FA6B96}" name="authors"/>
    <tableColumn id="11" xr3:uid="{51F16F53-F377-40A0-BECA-20BAECA029AF}" name="year_publi"/>
    <tableColumn id="12" xr3:uid="{033A070A-F38C-4145-BB25-F1C51FED4A4C}" name="journal"/>
    <tableColumn id="13" xr3:uid="{5C5334E8-D5F2-468F-9C11-53D184C1E4AE}" name="subject_journal" dataDxfId="32"/>
    <tableColumn id="24" xr3:uid="{577A2049-CD96-4D7F-B514-4B4C1764C375}" name="subject_journal_grp" dataDxfId="31"/>
    <tableColumn id="14" xr3:uid="{7CD5D236-35BF-422E-9267-923068B80711}" name="objective" dataDxfId="30"/>
    <tableColumn id="64" xr3:uid="{EFD50EC6-6A0A-4F08-83B8-166AD53658A8}" name="scale" dataDxfId="29"/>
    <tableColumn id="63" xr3:uid="{5BE81D87-6AB9-4ED1-BD1F-BBE65B06884F}" name="scale_grp" dataDxfId="28"/>
    <tableColumn id="62" xr3:uid="{580BF954-4532-4553-BC05-E09817C9C51D}" name="name_location" dataDxfId="27"/>
    <tableColumn id="61" xr3:uid="{92E8B8D7-FB5E-4C8D-80D0-CA83DF9FE8B8}" name="network" dataDxfId="26"/>
    <tableColumn id="70" xr3:uid="{14D701B0-41EF-4DDC-97EA-E688430DFFD0}" name="country" dataDxfId="25"/>
    <tableColumn id="71" xr3:uid="{70937BB4-313B-4DEB-8343-275C6B31EAA7}" name="continent"/>
    <tableColumn id="15" xr3:uid="{592F4652-81E5-467A-80B1-D3943CD6408F}" name="database" dataDxfId="24"/>
    <tableColumn id="56" xr3:uid="{57766F7F-A178-4D55-91E9-8168F5466FDB}" name="database_grp" dataDxfId="23"/>
    <tableColumn id="16" xr3:uid="{332EE8EB-D70E-4018-A92F-B87AD50CE185}" name="type_database" dataDxfId="22"/>
    <tableColumn id="55" xr3:uid="{ADC48B34-1B26-4C28-9A68-5DBB7931257F}" name="type_database_grp" dataDxfId="21"/>
    <tableColumn id="17" xr3:uid="{232BC149-EF56-4415-AADF-4B3EA5F87635}" name="start_year_database"/>
    <tableColumn id="18" xr3:uid="{85E39338-E00C-4518-AF3F-9F03DC8FEE41}" name="time_range_database_years"/>
    <tableColumn id="81" xr3:uid="{C36CE45D-F6B3-4102-B530-22CA869631C7}" name="data_availability"/>
    <tableColumn id="82" xr3:uid="{FB67EF4C-FBC0-478B-A1A1-B0FDE89C4A99}" name="network_availability"/>
    <tableColumn id="19" xr3:uid="{69ADD90E-6C8C-4C1A-BF53-9A32522C2D8D}" name="transfer_type"/>
    <tableColumn id="2" xr3:uid="{5F40E094-B4CD-415C-8473-03E7F58A5475}" name="autotransfers_included"/>
    <tableColumn id="3" xr3:uid="{5B4BEAD7-A6EB-4D08-84A4-CDE77F866260}" name="transfer_type_notes" dataDxfId="20"/>
    <tableColumn id="57" xr3:uid="{115F0EDF-D355-4990-97C5-B0F20CDADA6A}" name="indirect_transfer_max_delay"/>
    <tableColumn id="20" xr3:uid="{87334A12-41AB-45B2-9649-006A64AEF082}" name="indirect_transfer_max_delay_notes" dataDxfId="19"/>
    <tableColumn id="60" xr3:uid="{F8284679-F2AC-49C9-AE4F-A9F1DC15727A}" name="facilities_types_binary" dataDxfId="18"/>
    <tableColumn id="54" xr3:uid="{C6AE10AA-0836-4B92-BC68-4E881FE0CB2B}" name="facilities_types_details" dataDxfId="17"/>
    <tableColumn id="10" xr3:uid="{64113D64-6772-499D-B056-6A8EF64288D4}" name="intra_or_inter"/>
    <tableColumn id="58" xr3:uid="{18B2B2A7-1A79-4945-8249-011FC621F157}" name="nb_facilities"/>
    <tableColumn id="22" xr3:uid="{157FAD04-4229-474E-8DC5-269171AA9772}" name="nb_facilities_notes" dataDxfId="16"/>
    <tableColumn id="23" xr3:uid="{82C360B3-4A7F-48A0-87AD-82D774CB00CD}" name="nb_units"/>
    <tableColumn id="59" xr3:uid="{C09D5857-9A87-4451-99EC-B5436E362DE8}" name="nb_transfers"/>
    <tableColumn id="25" xr3:uid="{42D4EFBD-9B8A-4AE0-85C1-FBC510FF4DB1}" name="nb_transfers_notes" dataDxfId="15"/>
    <tableColumn id="26" xr3:uid="{F1C9D2D1-C49A-4E7A-9452-30B1C91EFC4B}" name="nb_admissions"/>
    <tableColumn id="27" xr3:uid="{BBCD4743-AED2-4B6D-AF6C-4BF0C3EA9883}" name="nb_patients"/>
    <tableColumn id="31" xr3:uid="{6FF1A855-255F-4DC1-A7FD-877FB3A45CEA}" name="static_or_temporal"/>
    <tableColumn id="32" xr3:uid="{0E493C82-EB03-4838-AE9C-2E6EFCB9B3C8}" name="if_static_agr_or_avg" dataDxfId="14"/>
    <tableColumn id="33" xr3:uid="{53C6751C-8407-4D66-99F2-60CC65EAAFD6}" name="if_mean_tempscale" dataDxfId="13"/>
    <tableColumn id="1" xr3:uid="{57B83A17-CDE9-44E7-8B72-213125562CE1}" name="if_temporal_tempscale" dataDxfId="12"/>
    <tableColumn id="34" xr3:uid="{DF790C41-0F4C-40F4-8F0C-BF6B66AB0674}" name="static_or_temporal_notes"/>
    <tableColumn id="35" xr3:uid="{920E81F1-F19D-4521-ACA3-E0B64ED194D9}" name="patient_grp_yes_no" dataDxfId="11"/>
    <tableColumn id="36" xr3:uid="{4D42CEC4-58D7-4F4F-AEFC-F6898BEF4EA3}" name="patient_grp_details" dataDxfId="10"/>
    <tableColumn id="37" xr3:uid="{69994578-3C51-479C-9CA6-5141C465D5A4}" name="descriptive_metrics_network" dataDxfId="9"/>
    <tableColumn id="7" xr3:uid="{1F637645-B3B1-4163-8E19-CEDE6490ED02}" name="descriptive metrics_grp" dataDxfId="8"/>
    <tableColumn id="38" xr3:uid="{EEAC498B-3519-47ED-8B7A-300CEDA8D458}" name="regression_analyses"/>
    <tableColumn id="39" xr3:uid="{5A514080-65DF-44DF-AA0B-E8B17A599858}" name="additional_analysis" dataDxfId="7"/>
    <tableColumn id="40" xr3:uid="{1F57F58F-8D7B-4D1E-B692-990917FDC35F}" name="prop_model_yes_no" dataDxfId="6"/>
    <tableColumn id="8" xr3:uid="{B763B2BF-CDF2-4E8B-BE82-309A07B4B523}" name="prop_model_type_binary"/>
    <tableColumn id="41" xr3:uid="{5B953E39-C1C1-467C-B45C-90B6F7FD624D}" name="prop_model_details"/>
    <tableColumn id="42" xr3:uid="{C6DB804C-28CB-4BD9-9C8E-DD2670344259}" name="prop_model_pathogen"/>
    <tableColumn id="43" xr3:uid="{4799FDFC-749E-4AB2-A392-EB7B018D5C6D}" name="prop_model_interv_yes_no"/>
    <tableColumn id="44" xr3:uid="{9F894A42-CF1E-484E-A3BD-0154E7DA95DF}" name="prop_model_interv_details"/>
    <tableColumn id="9" xr3:uid="{FD325BB2-E87B-4F33-B21E-26F585C5728C}" name="prop_model_interv_grp"/>
    <tableColumn id="45" xr3:uid="{D7150D92-3FD4-4546-B36F-7B8581F7B3A9}" name="epidemio_data_yes_no"/>
    <tableColumn id="21" xr3:uid="{5753AFB9-92FC-40CA-9FA0-7C856A5EC371}" name="epidemio_data_categ"/>
    <tableColumn id="46" xr3:uid="{663C851A-AE6A-4C7A-B818-5E04F523AB30}" name="epidemio_data_details" dataDxfId="5"/>
    <tableColumn id="47" xr3:uid="{7DC737CE-24F7-4F20-8D4D-A16EF3AB2CDE}" name="found_how" dataDxfId="4"/>
    <tableColumn id="48" xr3:uid="{5E214895-D758-4508-ABC6-15142287E319}" name="additional_notes" dataDxfId="3"/>
    <tableColumn id="49" xr3:uid="{D999DCE2-AFC4-4A46-AF31-29DAB9E6F286}" name="ccl1" dataDxfId="2"/>
    <tableColumn id="50" xr3:uid="{49A4F5A6-7A6A-4228-A59C-11CD952A1CAA}" name="ccl2" dataDxfId="1"/>
    <tableColumn id="51" xr3:uid="{4C8804A9-576E-4077-8717-4F874964FBCE}" name="ccl3" dataDxfId="0"/>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V105"/>
  <sheetViews>
    <sheetView tabSelected="1" topLeftCell="A68" zoomScale="90" zoomScaleNormal="90" workbookViewId="0">
      <pane xSplit="1" topLeftCell="B1" activePane="topRight" state="frozen"/>
      <selection pane="topRight" activeCell="B71" sqref="B71"/>
    </sheetView>
  </sheetViews>
  <sheetFormatPr baseColWidth="10" defaultColWidth="8.875" defaultRowHeight="14.3"/>
  <cols>
    <col min="1" max="1" width="40" customWidth="1"/>
    <col min="2" max="2" width="67.375" style="10" customWidth="1"/>
    <col min="3" max="3" width="177.75" customWidth="1"/>
    <col min="4" max="4" width="19.25" customWidth="1"/>
    <col min="5" max="5" width="48" customWidth="1"/>
    <col min="6" max="7" width="40.375" style="10" customWidth="1"/>
    <col min="8" max="8" width="31.375" style="20" customWidth="1"/>
    <col min="9" max="13" width="31.375" style="10" customWidth="1"/>
    <col min="14" max="14" width="31.375" style="21" customWidth="1"/>
    <col min="15" max="15" width="31.375" style="10" customWidth="1"/>
    <col min="16" max="16" width="44.25" style="11" customWidth="1"/>
    <col min="17" max="17" width="44.25" style="10" customWidth="1"/>
    <col min="18" max="18" width="40.375" customWidth="1"/>
    <col min="19" max="21" width="32.75" customWidth="1"/>
    <col min="22" max="22" width="27.25" style="26" customWidth="1"/>
    <col min="23" max="23" width="27.25" customWidth="1"/>
    <col min="24" max="24" width="54.625" customWidth="1"/>
    <col min="25" max="25" width="27.25" customWidth="1"/>
    <col min="26" max="27" width="59" customWidth="1"/>
    <col min="28" max="28" width="90.5" style="26" customWidth="1"/>
    <col min="29" max="29" width="31" style="22" customWidth="1"/>
    <col min="30" max="30" width="31" customWidth="1"/>
    <col min="31" max="31" width="26.5" style="22" customWidth="1"/>
    <col min="32" max="33" width="26.5" customWidth="1"/>
    <col min="34" max="34" width="41.25" customWidth="1"/>
    <col min="35" max="35" width="51" style="22" customWidth="1"/>
    <col min="36" max="36" width="31" customWidth="1"/>
    <col min="37" max="37" width="42.375" customWidth="1"/>
    <col min="38" max="38" width="31.5" customWidth="1"/>
    <col min="39" max="40" width="30.875" customWidth="1"/>
    <col min="41" max="41" width="59.25" style="14" customWidth="1"/>
    <col min="42" max="42" width="41.125" style="16" hidden="1" customWidth="1"/>
    <col min="43" max="43" width="28.875" style="14" hidden="1" customWidth="1"/>
    <col min="44" max="44" width="58.5" style="17" customWidth="1"/>
    <col min="45" max="45" width="58.5" style="10" hidden="1" customWidth="1"/>
    <col min="46" max="46" width="44.875" customWidth="1"/>
    <col min="47" max="47" width="44.875" style="14" customWidth="1"/>
    <col min="48" max="48" width="28" style="16" customWidth="1"/>
    <col min="49" max="49" width="20.5" customWidth="1"/>
    <col min="50" max="50" width="22.25" customWidth="1"/>
    <col min="51" max="51" width="24.5" customWidth="1"/>
    <col min="52" max="52" width="31.125" customWidth="1"/>
    <col min="53" max="53" width="43" style="10" customWidth="1"/>
    <col min="54" max="54" width="18.875" style="10" customWidth="1"/>
    <col min="55" max="55" width="36.75" customWidth="1"/>
    <col min="56" max="57" width="22.875" style="32" customWidth="1"/>
    <col min="58" max="58" width="26.5" style="22" customWidth="1"/>
    <col min="59" max="59" width="44.5" style="24" customWidth="1"/>
    <col min="60" max="62" width="17.125" customWidth="1"/>
    <col min="63" max="63" width="26.5" customWidth="1"/>
  </cols>
  <sheetData>
    <row r="1" spans="1:100" s="3" customFormat="1" ht="51.65" customHeight="1" thickBot="1">
      <c r="A1" t="s">
        <v>1199</v>
      </c>
      <c r="B1" s="3" t="s">
        <v>1200</v>
      </c>
      <c r="C1" s="3" t="s">
        <v>1201</v>
      </c>
      <c r="D1" s="3" t="s">
        <v>1202</v>
      </c>
      <c r="E1" s="3" t="s">
        <v>1203</v>
      </c>
      <c r="F1" s="3" t="s">
        <v>1204</v>
      </c>
      <c r="G1" s="3" t="s">
        <v>1205</v>
      </c>
      <c r="H1" s="4" t="s">
        <v>1206</v>
      </c>
      <c r="I1" s="6" t="s">
        <v>1229</v>
      </c>
      <c r="J1" s="3" t="s">
        <v>1230</v>
      </c>
      <c r="K1" s="3" t="s">
        <v>1231</v>
      </c>
      <c r="L1" s="3" t="s">
        <v>1284</v>
      </c>
      <c r="M1" s="4" t="s">
        <v>1232</v>
      </c>
      <c r="N1" s="3" t="s">
        <v>1287</v>
      </c>
      <c r="O1" s="5" t="s">
        <v>1207</v>
      </c>
      <c r="P1" s="3" t="s">
        <v>1208</v>
      </c>
      <c r="Q1" s="6" t="s">
        <v>1209</v>
      </c>
      <c r="R1" s="3" t="s">
        <v>1210</v>
      </c>
      <c r="S1" s="3" t="s">
        <v>1211</v>
      </c>
      <c r="T1" s="3" t="s">
        <v>1212</v>
      </c>
      <c r="U1" s="3" t="s">
        <v>1213</v>
      </c>
      <c r="V1" s="3" t="s">
        <v>1214</v>
      </c>
      <c r="W1" t="s">
        <v>1215</v>
      </c>
      <c r="X1" t="s">
        <v>1331</v>
      </c>
      <c r="Y1" s="7" t="s">
        <v>1216</v>
      </c>
      <c r="Z1" t="s">
        <v>1217</v>
      </c>
      <c r="AA1" s="7" t="s">
        <v>1218</v>
      </c>
      <c r="AB1" s="3" t="s">
        <v>1219</v>
      </c>
      <c r="AC1" s="22" t="s">
        <v>1220</v>
      </c>
      <c r="AD1" s="3" t="s">
        <v>1221</v>
      </c>
      <c r="AE1" s="3" t="s">
        <v>1222</v>
      </c>
      <c r="AF1" s="7" t="s">
        <v>1223</v>
      </c>
      <c r="AG1" s="3" t="s">
        <v>1224</v>
      </c>
      <c r="AH1" t="s">
        <v>1225</v>
      </c>
      <c r="AI1" s="22" t="s">
        <v>1226</v>
      </c>
      <c r="AJ1" s="3" t="s">
        <v>1227</v>
      </c>
      <c r="AK1" s="3" t="s">
        <v>1228</v>
      </c>
      <c r="AL1" t="s">
        <v>1233</v>
      </c>
      <c r="AM1" s="3" t="s">
        <v>1234</v>
      </c>
      <c r="AN1" s="3" t="s">
        <v>1235</v>
      </c>
      <c r="AO1" s="3" t="s">
        <v>1236</v>
      </c>
      <c r="AP1" s="3" t="s">
        <v>1237</v>
      </c>
      <c r="AQ1" s="8" t="s">
        <v>1238</v>
      </c>
      <c r="AR1" s="4" t="s">
        <v>1239</v>
      </c>
      <c r="AS1" s="8" t="s">
        <v>1240</v>
      </c>
      <c r="AT1" s="3" t="s">
        <v>1241</v>
      </c>
      <c r="AU1" s="3" t="s">
        <v>1242</v>
      </c>
      <c r="AV1" s="4" t="s">
        <v>1243</v>
      </c>
      <c r="AW1" s="8" t="s">
        <v>1244</v>
      </c>
      <c r="AX1" s="3" t="s">
        <v>1245</v>
      </c>
      <c r="AY1" s="3" t="s">
        <v>1246</v>
      </c>
      <c r="AZ1" s="3" t="s">
        <v>1247</v>
      </c>
      <c r="BA1" s="3" t="s">
        <v>1248</v>
      </c>
      <c r="BB1" s="3" t="s">
        <v>1249</v>
      </c>
      <c r="BC1" s="3" t="s">
        <v>1250</v>
      </c>
      <c r="BD1" s="3" t="s">
        <v>1251</v>
      </c>
      <c r="BE1" s="45" t="s">
        <v>1348</v>
      </c>
      <c r="BF1" s="22" t="s">
        <v>1252</v>
      </c>
      <c r="BG1" s="3" t="s">
        <v>1253</v>
      </c>
      <c r="BH1" s="9" t="s">
        <v>1254</v>
      </c>
      <c r="BI1" s="49" t="s">
        <v>1255</v>
      </c>
      <c r="BJ1" s="49" t="s">
        <v>1256</v>
      </c>
      <c r="BK1" s="49" t="s">
        <v>1257</v>
      </c>
    </row>
    <row r="2" spans="1:100" ht="39.1" customHeight="1">
      <c r="A2" t="s">
        <v>1179</v>
      </c>
      <c r="B2" s="10" t="s">
        <v>1180</v>
      </c>
      <c r="C2" t="s">
        <v>1181</v>
      </c>
      <c r="D2">
        <v>2015</v>
      </c>
      <c r="E2" t="s">
        <v>1182</v>
      </c>
      <c r="F2" s="10" t="s">
        <v>756</v>
      </c>
      <c r="G2" s="10" t="s">
        <v>60</v>
      </c>
      <c r="H2" s="50" t="s">
        <v>1183</v>
      </c>
      <c r="I2" s="23" t="s">
        <v>18</v>
      </c>
      <c r="J2" t="s">
        <v>19</v>
      </c>
      <c r="K2" t="s">
        <v>1191</v>
      </c>
      <c r="L2" t="s">
        <v>1191</v>
      </c>
      <c r="M2" s="14" t="s">
        <v>1192</v>
      </c>
      <c r="N2" s="51" t="s">
        <v>1288</v>
      </c>
      <c r="O2" s="52" t="s">
        <v>1184</v>
      </c>
      <c r="P2" s="10" t="s">
        <v>1185</v>
      </c>
      <c r="Q2" s="11" t="s">
        <v>1186</v>
      </c>
      <c r="R2" s="10" t="s">
        <v>1187</v>
      </c>
      <c r="S2">
        <v>2003</v>
      </c>
      <c r="T2">
        <v>9</v>
      </c>
      <c r="U2" t="s">
        <v>1188</v>
      </c>
      <c r="V2" s="10" t="s">
        <v>343</v>
      </c>
      <c r="W2" t="s">
        <v>12</v>
      </c>
      <c r="Y2" s="22"/>
      <c r="Z2" t="s">
        <v>13</v>
      </c>
      <c r="AA2" s="15"/>
      <c r="AB2" t="s">
        <v>14</v>
      </c>
      <c r="AC2" s="22" t="s">
        <v>1189</v>
      </c>
      <c r="AD2" t="s">
        <v>16</v>
      </c>
      <c r="AE2">
        <v>14</v>
      </c>
      <c r="AF2" s="22">
        <v>14</v>
      </c>
      <c r="AG2" t="s">
        <v>13</v>
      </c>
      <c r="AH2">
        <v>20000</v>
      </c>
      <c r="AI2" s="22" t="s">
        <v>1190</v>
      </c>
      <c r="AK2" t="s">
        <v>13</v>
      </c>
      <c r="AL2" t="s">
        <v>116</v>
      </c>
      <c r="AM2" t="s">
        <v>278</v>
      </c>
      <c r="AN2" t="s">
        <v>22</v>
      </c>
      <c r="AO2" s="14" t="s">
        <v>13</v>
      </c>
      <c r="AP2" s="51"/>
      <c r="AQ2" s="16" t="s">
        <v>23</v>
      </c>
      <c r="AR2" s="14" t="s">
        <v>13</v>
      </c>
      <c r="AS2" s="17" t="s">
        <v>1193</v>
      </c>
      <c r="AT2" s="17" t="s">
        <v>1194</v>
      </c>
      <c r="AU2" s="51" t="s">
        <v>1195</v>
      </c>
      <c r="AV2" s="14"/>
      <c r="AW2" s="16" t="s">
        <v>23</v>
      </c>
      <c r="AX2" t="s">
        <v>13</v>
      </c>
      <c r="AY2" t="s">
        <v>13</v>
      </c>
      <c r="AZ2" t="s">
        <v>13</v>
      </c>
      <c r="BA2" t="s">
        <v>13</v>
      </c>
      <c r="BB2" t="s">
        <v>13</v>
      </c>
      <c r="BC2" t="s">
        <v>13</v>
      </c>
      <c r="BD2" t="s">
        <v>13</v>
      </c>
      <c r="BE2"/>
      <c r="BF2" s="22" t="s">
        <v>13</v>
      </c>
      <c r="BG2" s="51" t="s">
        <v>69</v>
      </c>
      <c r="BH2" s="24"/>
      <c r="BI2" t="s">
        <v>1196</v>
      </c>
      <c r="BJ2" t="s">
        <v>1197</v>
      </c>
      <c r="BK2" t="s">
        <v>1198</v>
      </c>
    </row>
    <row r="3" spans="1:100" s="22" customFormat="1" ht="84.1" customHeight="1">
      <c r="A3" t="s">
        <v>1400</v>
      </c>
      <c r="B3" s="10" t="s">
        <v>1349</v>
      </c>
      <c r="C3" t="s">
        <v>1350</v>
      </c>
      <c r="D3">
        <v>2025</v>
      </c>
      <c r="E3" t="s">
        <v>1351</v>
      </c>
      <c r="F3" s="10" t="s">
        <v>212</v>
      </c>
      <c r="G3" s="10" t="s">
        <v>212</v>
      </c>
      <c r="H3" s="20" t="s">
        <v>1352</v>
      </c>
      <c r="I3" s="10"/>
      <c r="J3" t="s">
        <v>325</v>
      </c>
      <c r="K3" s="10" t="s">
        <v>1353</v>
      </c>
      <c r="L3" s="10" t="s">
        <v>1353</v>
      </c>
      <c r="M3" s="20" t="s">
        <v>346</v>
      </c>
      <c r="N3" s="50" t="s">
        <v>1288</v>
      </c>
      <c r="O3" s="21"/>
      <c r="P3" s="10" t="s">
        <v>1354</v>
      </c>
      <c r="Q3" s="11"/>
      <c r="R3" s="10" t="s">
        <v>321</v>
      </c>
      <c r="S3">
        <v>2019</v>
      </c>
      <c r="T3">
        <v>1</v>
      </c>
      <c r="U3"/>
      <c r="V3" t="s">
        <v>1355</v>
      </c>
      <c r="W3" t="s">
        <v>12</v>
      </c>
      <c r="X3"/>
      <c r="Z3" t="s">
        <v>13</v>
      </c>
      <c r="AA3" s="15"/>
      <c r="AB3" t="s">
        <v>14</v>
      </c>
      <c r="AD3" t="s">
        <v>323</v>
      </c>
      <c r="AE3">
        <v>1</v>
      </c>
      <c r="AG3">
        <v>48</v>
      </c>
      <c r="AH3" t="s">
        <v>13</v>
      </c>
      <c r="AJ3" t="s">
        <v>13</v>
      </c>
      <c r="AK3" t="s">
        <v>13</v>
      </c>
      <c r="AL3" t="s">
        <v>116</v>
      </c>
      <c r="AM3" t="s">
        <v>117</v>
      </c>
      <c r="AN3" t="s">
        <v>13</v>
      </c>
      <c r="AO3" s="14" t="s">
        <v>13</v>
      </c>
      <c r="AP3" s="51"/>
      <c r="AQ3" s="16"/>
      <c r="AR3" s="14"/>
      <c r="AS3" s="17"/>
      <c r="AT3" s="17" t="s">
        <v>13</v>
      </c>
      <c r="AU3" s="51" t="s">
        <v>13</v>
      </c>
      <c r="AV3" s="14" t="s">
        <v>13</v>
      </c>
      <c r="AW3" s="16" t="s">
        <v>23</v>
      </c>
      <c r="AX3" t="s">
        <v>13</v>
      </c>
      <c r="AY3" t="s">
        <v>13</v>
      </c>
      <c r="AZ3" t="s">
        <v>13</v>
      </c>
      <c r="BA3" t="s">
        <v>13</v>
      </c>
      <c r="BB3" t="s">
        <v>13</v>
      </c>
      <c r="BC3" t="s">
        <v>13</v>
      </c>
      <c r="BD3" t="s">
        <v>13</v>
      </c>
      <c r="BE3" t="s">
        <v>13</v>
      </c>
      <c r="BG3" s="51" t="s">
        <v>1360</v>
      </c>
      <c r="BH3" s="24" t="s">
        <v>1356</v>
      </c>
      <c r="BI3" s="29"/>
      <c r="BJ3" s="29"/>
      <c r="BK3" s="29"/>
      <c r="BL3"/>
      <c r="BM3"/>
      <c r="BN3"/>
      <c r="BO3"/>
      <c r="BP3"/>
      <c r="BQ3"/>
      <c r="BR3"/>
      <c r="BS3"/>
      <c r="BT3"/>
      <c r="BU3"/>
      <c r="BV3"/>
      <c r="BW3"/>
      <c r="BX3"/>
      <c r="BY3"/>
      <c r="BZ3"/>
      <c r="CA3"/>
      <c r="CB3"/>
      <c r="CC3"/>
      <c r="CD3"/>
      <c r="CE3"/>
      <c r="CF3"/>
      <c r="CG3"/>
      <c r="CH3"/>
      <c r="CI3"/>
      <c r="CJ3"/>
      <c r="CK3"/>
      <c r="CL3"/>
      <c r="CM3"/>
      <c r="CN3"/>
      <c r="CO3"/>
      <c r="CP3"/>
      <c r="CQ3"/>
      <c r="CR3"/>
      <c r="CS3"/>
      <c r="CT3"/>
      <c r="CU3"/>
      <c r="CV3"/>
    </row>
    <row r="4" spans="1:100" s="22" customFormat="1" ht="57.1">
      <c r="A4" t="s">
        <v>1401</v>
      </c>
      <c r="B4" s="10" t="s">
        <v>1357</v>
      </c>
      <c r="C4" t="s">
        <v>1358</v>
      </c>
      <c r="D4">
        <v>2025</v>
      </c>
      <c r="E4" t="s">
        <v>485</v>
      </c>
      <c r="F4" s="10" t="s">
        <v>212</v>
      </c>
      <c r="G4" s="10" t="s">
        <v>212</v>
      </c>
      <c r="H4" s="20" t="s">
        <v>1359</v>
      </c>
      <c r="I4" s="10"/>
      <c r="J4" t="s">
        <v>325</v>
      </c>
      <c r="K4" s="10" t="s">
        <v>1353</v>
      </c>
      <c r="L4" s="10" t="s">
        <v>1353</v>
      </c>
      <c r="M4" s="20" t="s">
        <v>346</v>
      </c>
      <c r="N4" s="50" t="s">
        <v>1288</v>
      </c>
      <c r="O4" s="21"/>
      <c r="P4" s="10" t="s">
        <v>1354</v>
      </c>
      <c r="Q4" s="11"/>
      <c r="R4" s="10" t="s">
        <v>321</v>
      </c>
      <c r="S4">
        <v>2019</v>
      </c>
      <c r="T4">
        <v>1</v>
      </c>
      <c r="U4"/>
      <c r="V4" t="s">
        <v>1355</v>
      </c>
      <c r="W4" t="s">
        <v>12</v>
      </c>
      <c r="X4"/>
      <c r="Z4" t="s">
        <v>13</v>
      </c>
      <c r="AA4" s="15"/>
      <c r="AB4" t="s">
        <v>14</v>
      </c>
      <c r="AD4" t="s">
        <v>323</v>
      </c>
      <c r="AE4">
        <v>1</v>
      </c>
      <c r="AG4">
        <v>45</v>
      </c>
      <c r="AH4" t="s">
        <v>13</v>
      </c>
      <c r="AJ4" t="s">
        <v>13</v>
      </c>
      <c r="AK4" t="s">
        <v>13</v>
      </c>
      <c r="AL4" t="s">
        <v>116</v>
      </c>
      <c r="AM4" t="s">
        <v>117</v>
      </c>
      <c r="AN4" t="s">
        <v>13</v>
      </c>
      <c r="AO4" s="14" t="s">
        <v>13</v>
      </c>
      <c r="AP4" s="51"/>
      <c r="AQ4" s="16"/>
      <c r="AR4" s="20"/>
      <c r="AS4" s="17"/>
      <c r="AT4" s="16" t="s">
        <v>13</v>
      </c>
      <c r="AU4" s="51" t="s">
        <v>13</v>
      </c>
      <c r="AV4" s="14" t="s">
        <v>13</v>
      </c>
      <c r="AW4" s="16" t="s">
        <v>23</v>
      </c>
      <c r="AX4" t="s">
        <v>13</v>
      </c>
      <c r="AY4" t="s">
        <v>13</v>
      </c>
      <c r="AZ4" t="s">
        <v>13</v>
      </c>
      <c r="BA4" t="s">
        <v>13</v>
      </c>
      <c r="BB4" t="s">
        <v>13</v>
      </c>
      <c r="BC4" t="s">
        <v>13</v>
      </c>
      <c r="BD4" t="s">
        <v>13</v>
      </c>
      <c r="BE4" t="s">
        <v>13</v>
      </c>
      <c r="BG4" s="51" t="s">
        <v>1360</v>
      </c>
      <c r="BH4" s="24"/>
      <c r="BI4" s="29"/>
      <c r="BJ4" s="29"/>
      <c r="BK4" s="29"/>
      <c r="BL4"/>
      <c r="BM4"/>
      <c r="BN4"/>
      <c r="BO4"/>
      <c r="BP4"/>
      <c r="BQ4"/>
      <c r="BR4"/>
      <c r="BS4"/>
      <c r="BT4"/>
      <c r="BU4"/>
      <c r="BV4"/>
      <c r="BW4"/>
      <c r="BX4"/>
      <c r="BY4"/>
      <c r="BZ4"/>
      <c r="CA4"/>
      <c r="CB4"/>
      <c r="CC4"/>
      <c r="CD4"/>
      <c r="CE4"/>
      <c r="CF4"/>
      <c r="CG4"/>
      <c r="CH4"/>
      <c r="CI4"/>
      <c r="CJ4"/>
      <c r="CK4"/>
      <c r="CL4"/>
      <c r="CM4"/>
      <c r="CN4"/>
      <c r="CO4"/>
      <c r="CP4"/>
      <c r="CQ4"/>
      <c r="CR4"/>
      <c r="CS4"/>
      <c r="CT4"/>
      <c r="CU4"/>
      <c r="CV4"/>
    </row>
    <row r="5" spans="1:100" s="22" customFormat="1" ht="199.7">
      <c r="A5" t="s">
        <v>752</v>
      </c>
      <c r="B5" s="10" t="s">
        <v>753</v>
      </c>
      <c r="C5" t="s">
        <v>754</v>
      </c>
      <c r="D5">
        <v>2017</v>
      </c>
      <c r="E5" t="s">
        <v>755</v>
      </c>
      <c r="F5" s="10" t="s">
        <v>756</v>
      </c>
      <c r="G5" s="10" t="s">
        <v>60</v>
      </c>
      <c r="H5" s="20" t="s">
        <v>757</v>
      </c>
      <c r="I5" s="23" t="s">
        <v>764</v>
      </c>
      <c r="J5" t="s">
        <v>19</v>
      </c>
      <c r="K5" t="s">
        <v>765</v>
      </c>
      <c r="L5" t="s">
        <v>765</v>
      </c>
      <c r="M5" s="14" t="s">
        <v>766</v>
      </c>
      <c r="N5" t="s">
        <v>1291</v>
      </c>
      <c r="O5" s="21" t="s">
        <v>758</v>
      </c>
      <c r="P5" s="10" t="s">
        <v>759</v>
      </c>
      <c r="Q5" s="11" t="s">
        <v>760</v>
      </c>
      <c r="R5" s="10" t="s">
        <v>9</v>
      </c>
      <c r="S5">
        <v>2013</v>
      </c>
      <c r="T5" s="38">
        <v>2</v>
      </c>
      <c r="U5" s="38" t="s">
        <v>761</v>
      </c>
      <c r="V5" s="10" t="s">
        <v>343</v>
      </c>
      <c r="W5" t="s">
        <v>12</v>
      </c>
      <c r="X5"/>
      <c r="Y5" s="13"/>
      <c r="Z5" t="s">
        <v>13</v>
      </c>
      <c r="AA5" s="15"/>
      <c r="AB5" t="s">
        <v>14</v>
      </c>
      <c r="AC5" s="22" t="s">
        <v>762</v>
      </c>
      <c r="AD5" t="s">
        <v>16</v>
      </c>
      <c r="AE5">
        <v>500</v>
      </c>
      <c r="AF5" s="22" t="s">
        <v>763</v>
      </c>
      <c r="AG5" t="s">
        <v>13</v>
      </c>
      <c r="AH5">
        <v>359702</v>
      </c>
      <c r="AI5" s="22">
        <v>359702</v>
      </c>
      <c r="AJ5">
        <v>4946074</v>
      </c>
      <c r="AK5">
        <v>2127873</v>
      </c>
      <c r="AL5" t="s">
        <v>116</v>
      </c>
      <c r="AM5" t="s">
        <v>117</v>
      </c>
      <c r="AN5" t="s">
        <v>13</v>
      </c>
      <c r="AO5" s="14" t="s">
        <v>13</v>
      </c>
      <c r="AP5" s="14"/>
      <c r="AQ5" s="16" t="s">
        <v>23</v>
      </c>
      <c r="AR5" s="14" t="s">
        <v>13</v>
      </c>
      <c r="AS5" s="17" t="s">
        <v>13</v>
      </c>
      <c r="AT5" s="17" t="s">
        <v>13</v>
      </c>
      <c r="AU5" t="s">
        <v>13</v>
      </c>
      <c r="AV5" s="20" t="s">
        <v>767</v>
      </c>
      <c r="AW5" s="16" t="s">
        <v>23</v>
      </c>
      <c r="AX5" t="s">
        <v>13</v>
      </c>
      <c r="AY5" t="s">
        <v>13</v>
      </c>
      <c r="AZ5" t="s">
        <v>13</v>
      </c>
      <c r="BA5" t="s">
        <v>13</v>
      </c>
      <c r="BB5" t="s">
        <v>13</v>
      </c>
      <c r="BC5" t="s">
        <v>13</v>
      </c>
      <c r="BD5" t="s">
        <v>13</v>
      </c>
      <c r="BE5"/>
      <c r="BF5" s="22" t="s">
        <v>13</v>
      </c>
      <c r="BG5" t="s">
        <v>27</v>
      </c>
      <c r="BH5" s="18" t="s">
        <v>768</v>
      </c>
      <c r="BI5" s="19" t="s">
        <v>769</v>
      </c>
      <c r="BJ5" s="19" t="s">
        <v>770</v>
      </c>
      <c r="BK5" s="19" t="s">
        <v>771</v>
      </c>
      <c r="BL5"/>
      <c r="BM5"/>
      <c r="BN5"/>
      <c r="BO5"/>
      <c r="BP5"/>
      <c r="BQ5"/>
      <c r="BR5"/>
      <c r="BS5"/>
      <c r="BT5"/>
      <c r="BU5"/>
      <c r="BV5"/>
      <c r="BW5"/>
      <c r="BX5"/>
      <c r="BY5"/>
      <c r="BZ5"/>
      <c r="CA5"/>
      <c r="CB5"/>
      <c r="CC5"/>
      <c r="CD5"/>
      <c r="CE5"/>
      <c r="CF5"/>
      <c r="CG5"/>
      <c r="CH5"/>
      <c r="CI5"/>
      <c r="CJ5"/>
      <c r="CK5"/>
      <c r="CL5"/>
      <c r="CM5"/>
      <c r="CN5"/>
      <c r="CO5"/>
      <c r="CP5"/>
      <c r="CQ5"/>
      <c r="CR5"/>
      <c r="CS5"/>
      <c r="CT5"/>
      <c r="CU5"/>
      <c r="CV5"/>
    </row>
    <row r="6" spans="1:100" s="22" customFormat="1" ht="99.85">
      <c r="A6" t="s">
        <v>1099</v>
      </c>
      <c r="B6" s="10" t="s">
        <v>1100</v>
      </c>
      <c r="C6" t="s">
        <v>1101</v>
      </c>
      <c r="D6">
        <v>2023</v>
      </c>
      <c r="E6" t="s">
        <v>1102</v>
      </c>
      <c r="F6" s="10" t="s">
        <v>1103</v>
      </c>
      <c r="G6" s="10" t="s">
        <v>338</v>
      </c>
      <c r="H6" s="20" t="s">
        <v>1104</v>
      </c>
      <c r="I6" s="23" t="s">
        <v>18</v>
      </c>
      <c r="J6" t="s">
        <v>19</v>
      </c>
      <c r="K6" t="s">
        <v>1109</v>
      </c>
      <c r="L6" t="s">
        <v>1323</v>
      </c>
      <c r="M6" s="14" t="s">
        <v>20</v>
      </c>
      <c r="N6" t="s">
        <v>1288</v>
      </c>
      <c r="O6" s="21" t="s">
        <v>1105</v>
      </c>
      <c r="P6" s="10" t="s">
        <v>1106</v>
      </c>
      <c r="Q6" s="11" t="s">
        <v>838</v>
      </c>
      <c r="R6" s="10" t="s">
        <v>9</v>
      </c>
      <c r="S6">
        <v>2014</v>
      </c>
      <c r="T6">
        <v>5</v>
      </c>
      <c r="U6" s="28" t="s">
        <v>1107</v>
      </c>
      <c r="V6" s="10" t="s">
        <v>343</v>
      </c>
      <c r="W6" t="s">
        <v>12</v>
      </c>
      <c r="X6"/>
      <c r="Y6" s="22" t="s">
        <v>1108</v>
      </c>
      <c r="Z6" t="s">
        <v>13</v>
      </c>
      <c r="AA6" s="15"/>
      <c r="AB6" t="s">
        <v>14</v>
      </c>
      <c r="AC6" s="22" t="s">
        <v>1308</v>
      </c>
      <c r="AD6" t="s">
        <v>16</v>
      </c>
      <c r="AE6">
        <v>127</v>
      </c>
      <c r="AF6" s="22">
        <v>127</v>
      </c>
      <c r="AG6" t="s">
        <v>13</v>
      </c>
      <c r="AH6">
        <v>10998</v>
      </c>
      <c r="AI6" s="22">
        <v>10998</v>
      </c>
      <c r="AJ6"/>
      <c r="AK6">
        <v>445392</v>
      </c>
      <c r="AL6" t="s">
        <v>21</v>
      </c>
      <c r="AM6" t="s">
        <v>13</v>
      </c>
      <c r="AN6" t="s">
        <v>13</v>
      </c>
      <c r="AO6" s="14" t="s">
        <v>22</v>
      </c>
      <c r="AP6"/>
      <c r="AQ6" s="16" t="s">
        <v>46</v>
      </c>
      <c r="AR6" s="14" t="s">
        <v>1110</v>
      </c>
      <c r="AS6" s="17" t="s">
        <v>1111</v>
      </c>
      <c r="AT6" s="17" t="s">
        <v>1112</v>
      </c>
      <c r="AU6"/>
      <c r="AV6" s="14"/>
      <c r="AW6" s="16" t="s">
        <v>23</v>
      </c>
      <c r="AX6" t="s">
        <v>13</v>
      </c>
      <c r="AY6" t="s">
        <v>13</v>
      </c>
      <c r="AZ6" t="s">
        <v>13</v>
      </c>
      <c r="BA6" t="s">
        <v>13</v>
      </c>
      <c r="BB6" t="s">
        <v>13</v>
      </c>
      <c r="BC6" t="s">
        <v>13</v>
      </c>
      <c r="BD6" t="s">
        <v>13</v>
      </c>
      <c r="BE6"/>
      <c r="BF6" s="22" t="s">
        <v>13</v>
      </c>
      <c r="BG6" s="51" t="s">
        <v>69</v>
      </c>
      <c r="BH6" s="24"/>
      <c r="BI6" s="19" t="s">
        <v>1113</v>
      </c>
      <c r="BJ6" s="19">
        <v>0</v>
      </c>
      <c r="BK6" s="19">
        <v>0</v>
      </c>
      <c r="BL6"/>
      <c r="BM6"/>
      <c r="BN6"/>
      <c r="BO6"/>
      <c r="BP6"/>
      <c r="BQ6"/>
      <c r="BR6"/>
      <c r="BS6"/>
      <c r="BT6"/>
      <c r="BU6"/>
      <c r="BV6"/>
      <c r="BW6"/>
      <c r="BX6"/>
      <c r="BY6"/>
      <c r="BZ6"/>
      <c r="CA6"/>
      <c r="CB6"/>
      <c r="CC6"/>
      <c r="CD6"/>
      <c r="CE6"/>
      <c r="CF6"/>
      <c r="CG6"/>
      <c r="CH6"/>
      <c r="CI6"/>
      <c r="CJ6"/>
      <c r="CK6"/>
      <c r="CL6"/>
      <c r="CM6"/>
      <c r="CN6"/>
      <c r="CO6"/>
      <c r="CP6"/>
      <c r="CQ6"/>
      <c r="CR6"/>
      <c r="CS6"/>
      <c r="CT6"/>
      <c r="CU6"/>
      <c r="CV6"/>
    </row>
    <row r="7" spans="1:100" s="22" customFormat="1" ht="128.4">
      <c r="A7" t="s">
        <v>851</v>
      </c>
      <c r="B7" s="10" t="s">
        <v>852</v>
      </c>
      <c r="C7" t="s">
        <v>853</v>
      </c>
      <c r="D7">
        <v>2014</v>
      </c>
      <c r="E7" t="s">
        <v>854</v>
      </c>
      <c r="F7" s="10" t="s">
        <v>379</v>
      </c>
      <c r="G7" s="10" t="s">
        <v>60</v>
      </c>
      <c r="H7" s="20" t="s">
        <v>855</v>
      </c>
      <c r="I7" s="23" t="s">
        <v>861</v>
      </c>
      <c r="J7" t="s">
        <v>19</v>
      </c>
      <c r="K7" s="10" t="s">
        <v>1324</v>
      </c>
      <c r="L7" s="10" t="s">
        <v>1324</v>
      </c>
      <c r="M7" s="14" t="s">
        <v>168</v>
      </c>
      <c r="N7" t="s">
        <v>1289</v>
      </c>
      <c r="O7" s="21" t="s">
        <v>856</v>
      </c>
      <c r="P7" s="17" t="s">
        <v>857</v>
      </c>
      <c r="Q7" s="11" t="s">
        <v>63</v>
      </c>
      <c r="R7" s="10" t="s">
        <v>858</v>
      </c>
      <c r="S7" t="s">
        <v>859</v>
      </c>
      <c r="T7">
        <v>2</v>
      </c>
      <c r="U7" t="s">
        <v>822</v>
      </c>
      <c r="V7" t="s">
        <v>343</v>
      </c>
      <c r="W7" t="s">
        <v>216</v>
      </c>
      <c r="X7" t="s">
        <v>1338</v>
      </c>
      <c r="Z7" t="s">
        <v>164</v>
      </c>
      <c r="AA7" s="15" t="s">
        <v>1305</v>
      </c>
      <c r="AB7" t="s">
        <v>14</v>
      </c>
      <c r="AC7" s="22" t="s">
        <v>860</v>
      </c>
      <c r="AD7" t="s">
        <v>16</v>
      </c>
      <c r="AE7">
        <v>29</v>
      </c>
      <c r="AF7" s="22">
        <v>29</v>
      </c>
      <c r="AG7" t="s">
        <v>13</v>
      </c>
      <c r="AH7" t="s">
        <v>13</v>
      </c>
      <c r="AI7" s="22" t="s">
        <v>13</v>
      </c>
      <c r="AJ7"/>
      <c r="AK7" t="s">
        <v>13</v>
      </c>
      <c r="AL7" t="s">
        <v>116</v>
      </c>
      <c r="AM7" t="s">
        <v>117</v>
      </c>
      <c r="AN7" t="s">
        <v>13</v>
      </c>
      <c r="AO7" s="14" t="s">
        <v>13</v>
      </c>
      <c r="AP7"/>
      <c r="AQ7" s="16" t="s">
        <v>46</v>
      </c>
      <c r="AR7" s="14" t="s">
        <v>862</v>
      </c>
      <c r="AS7" s="17" t="s">
        <v>13</v>
      </c>
      <c r="AT7" s="17" t="s">
        <v>13</v>
      </c>
      <c r="AU7"/>
      <c r="AV7" s="14"/>
      <c r="AW7" s="16" t="s">
        <v>46</v>
      </c>
      <c r="AX7" t="s">
        <v>262</v>
      </c>
      <c r="AY7" t="s">
        <v>863</v>
      </c>
      <c r="AZ7" t="s">
        <v>864</v>
      </c>
      <c r="BA7" t="s">
        <v>23</v>
      </c>
      <c r="BB7" t="s">
        <v>13</v>
      </c>
      <c r="BC7" t="s">
        <v>13</v>
      </c>
      <c r="BD7" t="s">
        <v>23</v>
      </c>
      <c r="BE7"/>
      <c r="BF7" s="22" t="s">
        <v>13</v>
      </c>
      <c r="BG7" s="51" t="s">
        <v>69</v>
      </c>
      <c r="BH7" s="51" t="s">
        <v>865</v>
      </c>
      <c r="BI7" s="10" t="s">
        <v>866</v>
      </c>
      <c r="BJ7" s="10" t="s">
        <v>867</v>
      </c>
      <c r="BK7" s="10" t="s">
        <v>1405</v>
      </c>
      <c r="BL7"/>
      <c r="BM7"/>
      <c r="BN7"/>
      <c r="BO7"/>
      <c r="BP7"/>
      <c r="BQ7"/>
      <c r="BR7"/>
      <c r="BS7"/>
      <c r="BT7"/>
      <c r="BU7"/>
      <c r="BV7"/>
      <c r="BW7"/>
      <c r="BX7"/>
      <c r="BY7"/>
      <c r="BZ7"/>
      <c r="CA7"/>
      <c r="CB7"/>
      <c r="CC7"/>
      <c r="CD7"/>
      <c r="CE7"/>
      <c r="CF7"/>
      <c r="CG7"/>
      <c r="CH7"/>
      <c r="CI7"/>
      <c r="CJ7"/>
      <c r="CK7"/>
      <c r="CL7"/>
      <c r="CM7"/>
      <c r="CN7"/>
      <c r="CO7"/>
      <c r="CP7"/>
      <c r="CQ7"/>
      <c r="CR7"/>
      <c r="CS7"/>
      <c r="CT7"/>
      <c r="CU7"/>
      <c r="CV7"/>
    </row>
    <row r="8" spans="1:100" s="22" customFormat="1" ht="103.75" customHeight="1">
      <c r="A8" t="s">
        <v>615</v>
      </c>
      <c r="B8" s="10" t="s">
        <v>616</v>
      </c>
      <c r="C8" t="s">
        <v>617</v>
      </c>
      <c r="D8">
        <v>2017</v>
      </c>
      <c r="E8" t="s">
        <v>226</v>
      </c>
      <c r="F8" s="10" t="s">
        <v>212</v>
      </c>
      <c r="G8" s="10" t="s">
        <v>212</v>
      </c>
      <c r="H8" s="20" t="s">
        <v>618</v>
      </c>
      <c r="I8" s="23" t="s">
        <v>324</v>
      </c>
      <c r="J8" t="s">
        <v>325</v>
      </c>
      <c r="K8" t="s">
        <v>624</v>
      </c>
      <c r="L8" t="s">
        <v>624</v>
      </c>
      <c r="M8" s="14" t="s">
        <v>406</v>
      </c>
      <c r="N8" t="s">
        <v>1288</v>
      </c>
      <c r="O8" s="21" t="s">
        <v>619</v>
      </c>
      <c r="P8" s="17" t="s">
        <v>620</v>
      </c>
      <c r="Q8" s="11" t="s">
        <v>621</v>
      </c>
      <c r="R8" s="10" t="s">
        <v>321</v>
      </c>
      <c r="S8">
        <v>2014</v>
      </c>
      <c r="T8" t="s">
        <v>622</v>
      </c>
      <c r="U8" t="s">
        <v>623</v>
      </c>
      <c r="V8" t="s">
        <v>343</v>
      </c>
      <c r="W8" t="s">
        <v>12</v>
      </c>
      <c r="X8"/>
      <c r="Z8" t="s">
        <v>13</v>
      </c>
      <c r="AA8" s="15"/>
      <c r="AB8" t="s">
        <v>14</v>
      </c>
      <c r="AC8" s="22" t="s">
        <v>14</v>
      </c>
      <c r="AD8" t="s">
        <v>323</v>
      </c>
      <c r="AE8">
        <v>1</v>
      </c>
      <c r="AF8" s="22" t="s">
        <v>1285</v>
      </c>
      <c r="AG8">
        <v>144</v>
      </c>
      <c r="AH8">
        <v>194410</v>
      </c>
      <c r="AI8" s="22">
        <v>194410</v>
      </c>
      <c r="AJ8"/>
      <c r="AK8" t="s">
        <v>13</v>
      </c>
      <c r="AL8" t="s">
        <v>21</v>
      </c>
      <c r="AM8" t="s">
        <v>13</v>
      </c>
      <c r="AN8" t="s">
        <v>13</v>
      </c>
      <c r="AO8" s="14" t="s">
        <v>625</v>
      </c>
      <c r="AP8" s="16"/>
      <c r="AQ8" s="16" t="s">
        <v>23</v>
      </c>
      <c r="AR8" s="14" t="s">
        <v>13</v>
      </c>
      <c r="AS8" s="17" t="s">
        <v>626</v>
      </c>
      <c r="AT8" s="17" t="s">
        <v>627</v>
      </c>
      <c r="AU8" t="s">
        <v>23</v>
      </c>
      <c r="AV8" s="14" t="s">
        <v>23</v>
      </c>
      <c r="AW8" s="16" t="s">
        <v>23</v>
      </c>
      <c r="AX8" t="s">
        <v>13</v>
      </c>
      <c r="AY8" t="s">
        <v>13</v>
      </c>
      <c r="AZ8" t="s">
        <v>13</v>
      </c>
      <c r="BA8" t="s">
        <v>13</v>
      </c>
      <c r="BB8" t="s">
        <v>13</v>
      </c>
      <c r="BC8" t="s">
        <v>13</v>
      </c>
      <c r="BD8" t="s">
        <v>13</v>
      </c>
      <c r="BE8"/>
      <c r="BF8" s="22" t="s">
        <v>13</v>
      </c>
      <c r="BG8" t="s">
        <v>69</v>
      </c>
      <c r="BH8" s="24"/>
      <c r="BI8" s="19">
        <v>0</v>
      </c>
      <c r="BJ8" s="19">
        <v>0</v>
      </c>
      <c r="BK8" s="19">
        <v>0</v>
      </c>
      <c r="BL8"/>
      <c r="BM8"/>
      <c r="BN8"/>
      <c r="BO8"/>
      <c r="BP8"/>
      <c r="BQ8"/>
      <c r="BR8"/>
      <c r="BS8"/>
      <c r="BT8"/>
      <c r="BU8"/>
      <c r="BV8"/>
      <c r="BW8"/>
      <c r="BX8"/>
      <c r="BY8"/>
      <c r="BZ8"/>
      <c r="CA8"/>
      <c r="CB8"/>
      <c r="CC8"/>
      <c r="CD8"/>
      <c r="CE8"/>
      <c r="CF8"/>
      <c r="CG8"/>
      <c r="CH8"/>
      <c r="CI8"/>
      <c r="CJ8"/>
      <c r="CK8"/>
      <c r="CL8"/>
      <c r="CM8"/>
      <c r="CN8"/>
      <c r="CO8"/>
      <c r="CP8"/>
      <c r="CQ8"/>
      <c r="CR8"/>
      <c r="CS8"/>
      <c r="CT8"/>
      <c r="CU8"/>
      <c r="CV8"/>
    </row>
    <row r="9" spans="1:100" ht="104.95" customHeight="1">
      <c r="A9" t="s">
        <v>628</v>
      </c>
      <c r="B9" s="10" t="s">
        <v>629</v>
      </c>
      <c r="C9" t="s">
        <v>630</v>
      </c>
      <c r="D9">
        <v>2016</v>
      </c>
      <c r="E9" t="s">
        <v>631</v>
      </c>
      <c r="F9" s="10" t="s">
        <v>632</v>
      </c>
      <c r="G9" s="10" t="s">
        <v>633</v>
      </c>
      <c r="H9" s="20" t="s">
        <v>634</v>
      </c>
      <c r="I9" s="23" t="s">
        <v>18</v>
      </c>
      <c r="J9" t="s">
        <v>19</v>
      </c>
      <c r="K9" t="s">
        <v>644</v>
      </c>
      <c r="L9" t="s">
        <v>644</v>
      </c>
      <c r="M9" s="14" t="s">
        <v>196</v>
      </c>
      <c r="N9" t="s">
        <v>1288</v>
      </c>
      <c r="O9" s="21" t="s">
        <v>635</v>
      </c>
      <c r="P9" s="10" t="s">
        <v>185</v>
      </c>
      <c r="Q9" s="11" t="s">
        <v>636</v>
      </c>
      <c r="R9" s="10" t="s">
        <v>9</v>
      </c>
      <c r="S9" t="s">
        <v>637</v>
      </c>
      <c r="T9">
        <v>3</v>
      </c>
      <c r="U9" t="s">
        <v>638</v>
      </c>
      <c r="V9" t="s">
        <v>343</v>
      </c>
      <c r="W9" t="s">
        <v>216</v>
      </c>
      <c r="X9" t="s">
        <v>1334</v>
      </c>
      <c r="Y9" s="13"/>
      <c r="Z9" t="s">
        <v>1304</v>
      </c>
      <c r="AA9" s="15" t="s">
        <v>639</v>
      </c>
      <c r="AB9" t="s">
        <v>14</v>
      </c>
      <c r="AC9" s="22" t="s">
        <v>14</v>
      </c>
      <c r="AD9" t="s">
        <v>16</v>
      </c>
      <c r="AE9" t="s">
        <v>640</v>
      </c>
      <c r="AF9" s="22">
        <v>1654</v>
      </c>
      <c r="AG9" t="s">
        <v>13</v>
      </c>
      <c r="AH9">
        <v>530400</v>
      </c>
      <c r="AI9" s="22" t="s">
        <v>641</v>
      </c>
      <c r="AJ9" t="s">
        <v>642</v>
      </c>
      <c r="AK9" t="s">
        <v>643</v>
      </c>
      <c r="AL9" t="s">
        <v>116</v>
      </c>
      <c r="AM9" t="s">
        <v>117</v>
      </c>
      <c r="AN9" t="s">
        <v>13</v>
      </c>
      <c r="AO9" s="14" t="s">
        <v>13</v>
      </c>
      <c r="AP9" t="s">
        <v>13</v>
      </c>
      <c r="AQ9" s="16" t="s">
        <v>23</v>
      </c>
      <c r="AR9" s="14" t="s">
        <v>13</v>
      </c>
      <c r="AS9" s="17" t="s">
        <v>645</v>
      </c>
      <c r="AT9" s="17" t="s">
        <v>646</v>
      </c>
      <c r="AU9" t="s">
        <v>13</v>
      </c>
      <c r="AV9" s="51" t="s">
        <v>647</v>
      </c>
      <c r="AW9" s="16" t="s">
        <v>46</v>
      </c>
      <c r="AX9" t="s">
        <v>262</v>
      </c>
      <c r="AY9" t="s">
        <v>1427</v>
      </c>
      <c r="AZ9" t="s">
        <v>264</v>
      </c>
      <c r="BA9" t="s">
        <v>46</v>
      </c>
      <c r="BB9" s="10" t="s">
        <v>648</v>
      </c>
      <c r="BC9" s="10" t="s">
        <v>649</v>
      </c>
      <c r="BD9" t="s">
        <v>23</v>
      </c>
      <c r="BE9"/>
      <c r="BF9" s="22" t="s">
        <v>13</v>
      </c>
      <c r="BG9" t="s">
        <v>27</v>
      </c>
      <c r="BH9" s="46" t="s">
        <v>650</v>
      </c>
      <c r="BI9" s="10" t="s">
        <v>1406</v>
      </c>
      <c r="BJ9" s="10" t="s">
        <v>1407</v>
      </c>
      <c r="BK9" s="10" t="s">
        <v>1408</v>
      </c>
    </row>
    <row r="10" spans="1:100" ht="199.7">
      <c r="A10" t="s">
        <v>651</v>
      </c>
      <c r="B10" s="10" t="s">
        <v>652</v>
      </c>
      <c r="C10" t="s">
        <v>653</v>
      </c>
      <c r="D10">
        <v>2017</v>
      </c>
      <c r="E10" t="s">
        <v>654</v>
      </c>
      <c r="F10" s="10" t="s">
        <v>632</v>
      </c>
      <c r="G10" s="10" t="s">
        <v>633</v>
      </c>
      <c r="H10" s="20" t="s">
        <v>655</v>
      </c>
      <c r="I10" s="23" t="s">
        <v>18</v>
      </c>
      <c r="J10" t="s">
        <v>19</v>
      </c>
      <c r="K10" t="s">
        <v>644</v>
      </c>
      <c r="L10" t="s">
        <v>644</v>
      </c>
      <c r="M10" s="14" t="s">
        <v>196</v>
      </c>
      <c r="N10" t="s">
        <v>1288</v>
      </c>
      <c r="O10" s="21" t="s">
        <v>635</v>
      </c>
      <c r="P10" s="10" t="s">
        <v>185</v>
      </c>
      <c r="Q10" s="11" t="s">
        <v>636</v>
      </c>
      <c r="R10" s="10" t="s">
        <v>9</v>
      </c>
      <c r="S10">
        <v>2009</v>
      </c>
      <c r="T10">
        <v>3</v>
      </c>
      <c r="U10" t="s">
        <v>638</v>
      </c>
      <c r="V10" t="s">
        <v>343</v>
      </c>
      <c r="W10" t="s">
        <v>216</v>
      </c>
      <c r="X10" t="s">
        <v>1338</v>
      </c>
      <c r="Y10" s="22" t="s">
        <v>656</v>
      </c>
      <c r="Z10" t="s">
        <v>584</v>
      </c>
      <c r="AA10" s="15" t="s">
        <v>657</v>
      </c>
      <c r="AB10" t="s">
        <v>14</v>
      </c>
      <c r="AC10" s="22" t="s">
        <v>14</v>
      </c>
      <c r="AD10" t="s">
        <v>16</v>
      </c>
      <c r="AE10">
        <v>185</v>
      </c>
      <c r="AF10" s="22" t="s">
        <v>658</v>
      </c>
      <c r="AG10" t="s">
        <v>13</v>
      </c>
      <c r="AH10">
        <v>67000</v>
      </c>
      <c r="AI10" s="22" t="s">
        <v>659</v>
      </c>
      <c r="AJ10" t="s">
        <v>660</v>
      </c>
      <c r="AK10" t="s">
        <v>661</v>
      </c>
      <c r="AL10" t="s">
        <v>21</v>
      </c>
      <c r="AM10" t="s">
        <v>13</v>
      </c>
      <c r="AN10" t="s">
        <v>13</v>
      </c>
      <c r="AO10" s="14" t="s">
        <v>662</v>
      </c>
      <c r="AP10" t="s">
        <v>663</v>
      </c>
      <c r="AQ10" s="16" t="s">
        <v>23</v>
      </c>
      <c r="AR10" s="14" t="s">
        <v>13</v>
      </c>
      <c r="AS10" s="17" t="s">
        <v>664</v>
      </c>
      <c r="AT10" s="17" t="s">
        <v>665</v>
      </c>
      <c r="AU10" t="s">
        <v>13</v>
      </c>
      <c r="AV10" s="51" t="s">
        <v>666</v>
      </c>
      <c r="AW10" s="16" t="s">
        <v>46</v>
      </c>
      <c r="AX10" t="s">
        <v>262</v>
      </c>
      <c r="AY10" t="s">
        <v>1426</v>
      </c>
      <c r="AZ10" t="s">
        <v>264</v>
      </c>
      <c r="BA10" t="s">
        <v>46</v>
      </c>
      <c r="BB10" s="10" t="s">
        <v>667</v>
      </c>
      <c r="BC10" s="10" t="s">
        <v>649</v>
      </c>
      <c r="BD10" t="s">
        <v>23</v>
      </c>
      <c r="BE10"/>
      <c r="BF10" s="22" t="s">
        <v>13</v>
      </c>
      <c r="BG10" t="s">
        <v>668</v>
      </c>
      <c r="BH10" s="24"/>
      <c r="BI10" s="47" t="s">
        <v>669</v>
      </c>
      <c r="BJ10" s="10" t="s">
        <v>1409</v>
      </c>
      <c r="BK10" s="10" t="s">
        <v>1410</v>
      </c>
    </row>
    <row r="11" spans="1:100" ht="71.349999999999994">
      <c r="A11" t="s">
        <v>223</v>
      </c>
      <c r="B11" s="10" t="s">
        <v>224</v>
      </c>
      <c r="C11" t="s">
        <v>225</v>
      </c>
      <c r="D11">
        <v>2023</v>
      </c>
      <c r="E11" t="s">
        <v>226</v>
      </c>
      <c r="F11" s="10" t="s">
        <v>212</v>
      </c>
      <c r="G11" s="10" t="s">
        <v>212</v>
      </c>
      <c r="H11" s="20" t="s">
        <v>227</v>
      </c>
      <c r="I11" s="23" t="s">
        <v>237</v>
      </c>
      <c r="J11" t="s">
        <v>19</v>
      </c>
      <c r="K11" t="s">
        <v>1424</v>
      </c>
      <c r="L11" t="s">
        <v>1286</v>
      </c>
      <c r="M11" s="14" t="s">
        <v>168</v>
      </c>
      <c r="N11" t="s">
        <v>1289</v>
      </c>
      <c r="O11" s="21" t="s">
        <v>228</v>
      </c>
      <c r="P11" s="10" t="s">
        <v>229</v>
      </c>
      <c r="Q11" s="11" t="s">
        <v>230</v>
      </c>
      <c r="R11" s="10" t="s">
        <v>9</v>
      </c>
      <c r="S11" t="s">
        <v>231</v>
      </c>
      <c r="T11">
        <v>1</v>
      </c>
      <c r="U11" t="s">
        <v>232</v>
      </c>
      <c r="V11" t="s">
        <v>11</v>
      </c>
      <c r="W11" t="s">
        <v>216</v>
      </c>
      <c r="X11" t="s">
        <v>1332</v>
      </c>
      <c r="Y11" s="22"/>
      <c r="Z11" t="s">
        <v>1304</v>
      </c>
      <c r="AA11" s="15" t="s">
        <v>1269</v>
      </c>
      <c r="AB11" t="s">
        <v>14</v>
      </c>
      <c r="AC11" s="22" t="s">
        <v>233</v>
      </c>
      <c r="AD11" t="s">
        <v>16</v>
      </c>
      <c r="AE11" t="s">
        <v>234</v>
      </c>
      <c r="AF11" s="22" t="s">
        <v>234</v>
      </c>
      <c r="AG11" t="s">
        <v>13</v>
      </c>
      <c r="AH11" t="s">
        <v>235</v>
      </c>
      <c r="AI11" s="22" t="s">
        <v>235</v>
      </c>
      <c r="AK11" t="s">
        <v>236</v>
      </c>
      <c r="AL11" t="s">
        <v>116</v>
      </c>
      <c r="AM11" t="s">
        <v>117</v>
      </c>
      <c r="AN11" t="s">
        <v>13</v>
      </c>
      <c r="AO11" s="14" t="s">
        <v>13</v>
      </c>
      <c r="AP11"/>
      <c r="AQ11" s="16" t="s">
        <v>46</v>
      </c>
      <c r="AR11" s="14" t="s">
        <v>238</v>
      </c>
      <c r="AS11" s="17" t="s">
        <v>239</v>
      </c>
      <c r="AT11" s="17" t="s">
        <v>239</v>
      </c>
      <c r="AU11" t="s">
        <v>240</v>
      </c>
      <c r="AV11" s="14"/>
      <c r="AW11" s="16" t="s">
        <v>23</v>
      </c>
      <c r="AX11" t="s">
        <v>13</v>
      </c>
      <c r="AY11" t="s">
        <v>13</v>
      </c>
      <c r="AZ11" t="s">
        <v>13</v>
      </c>
      <c r="BA11" t="s">
        <v>13</v>
      </c>
      <c r="BB11" t="s">
        <v>13</v>
      </c>
      <c r="BC11" t="s">
        <v>13</v>
      </c>
      <c r="BD11" t="s">
        <v>13</v>
      </c>
      <c r="BE11"/>
      <c r="BF11" s="22" t="s">
        <v>13</v>
      </c>
      <c r="BG11" t="s">
        <v>69</v>
      </c>
      <c r="BH11" s="30" t="s">
        <v>241</v>
      </c>
      <c r="BI11" t="s">
        <v>1297</v>
      </c>
      <c r="BJ11" t="s">
        <v>1296</v>
      </c>
      <c r="BK11" t="s">
        <v>1295</v>
      </c>
    </row>
    <row r="12" spans="1:100" ht="57.1">
      <c r="A12" t="s">
        <v>1267</v>
      </c>
      <c r="I12" s="23"/>
      <c r="J12" t="s">
        <v>19</v>
      </c>
      <c r="K12" t="s">
        <v>1312</v>
      </c>
      <c r="L12" t="s">
        <v>1341</v>
      </c>
      <c r="M12" s="14" t="s">
        <v>168</v>
      </c>
      <c r="N12" t="s">
        <v>1289</v>
      </c>
      <c r="O12" s="21"/>
      <c r="P12" s="10" t="s">
        <v>229</v>
      </c>
      <c r="Q12" s="11"/>
      <c r="R12" s="10" t="s">
        <v>9</v>
      </c>
      <c r="S12">
        <v>2011</v>
      </c>
      <c r="T12">
        <v>1</v>
      </c>
      <c r="U12" t="s">
        <v>232</v>
      </c>
      <c r="V12" t="s">
        <v>11</v>
      </c>
      <c r="W12" t="s">
        <v>216</v>
      </c>
      <c r="X12" t="s">
        <v>1332</v>
      </c>
      <c r="Y12" s="22"/>
      <c r="Z12" t="s">
        <v>1304</v>
      </c>
      <c r="AA12" s="15"/>
      <c r="AB12" t="s">
        <v>14</v>
      </c>
      <c r="AC12" s="22" t="s">
        <v>233</v>
      </c>
      <c r="AD12" t="s">
        <v>16</v>
      </c>
      <c r="AE12">
        <v>396</v>
      </c>
      <c r="AF12" s="22"/>
      <c r="AG12" t="s">
        <v>13</v>
      </c>
      <c r="AH12">
        <v>46659</v>
      </c>
      <c r="AK12">
        <v>1415728</v>
      </c>
      <c r="AL12" t="s">
        <v>116</v>
      </c>
      <c r="AM12" t="s">
        <v>117</v>
      </c>
      <c r="AN12" t="s">
        <v>13</v>
      </c>
      <c r="AO12" s="14" t="s">
        <v>13</v>
      </c>
      <c r="AP12"/>
      <c r="AQ12" s="16"/>
      <c r="AR12" s="14"/>
      <c r="AS12" s="17" t="s">
        <v>239</v>
      </c>
      <c r="AT12" s="17" t="s">
        <v>239</v>
      </c>
      <c r="AU12" t="s">
        <v>240</v>
      </c>
      <c r="AV12" s="14"/>
      <c r="AW12" s="16" t="s">
        <v>23</v>
      </c>
      <c r="AX12" t="s">
        <v>13</v>
      </c>
      <c r="AY12" t="s">
        <v>13</v>
      </c>
      <c r="AZ12" t="s">
        <v>13</v>
      </c>
      <c r="BA12" t="s">
        <v>13</v>
      </c>
      <c r="BB12" t="s">
        <v>13</v>
      </c>
      <c r="BC12" t="s">
        <v>13</v>
      </c>
      <c r="BD12" t="s">
        <v>13</v>
      </c>
      <c r="BE12"/>
      <c r="BF12" s="22" t="s">
        <v>13</v>
      </c>
      <c r="BG12" t="s">
        <v>69</v>
      </c>
      <c r="BH12" s="30"/>
      <c r="BI12" s="19"/>
      <c r="BJ12" s="19"/>
      <c r="BK12" s="19"/>
    </row>
    <row r="13" spans="1:100" ht="57.1">
      <c r="A13" t="s">
        <v>1268</v>
      </c>
      <c r="I13" s="23"/>
      <c r="J13" t="s">
        <v>19</v>
      </c>
      <c r="K13" t="s">
        <v>1325</v>
      </c>
      <c r="L13" t="s">
        <v>1325</v>
      </c>
      <c r="M13" s="14" t="s">
        <v>168</v>
      </c>
      <c r="N13" t="s">
        <v>1289</v>
      </c>
      <c r="O13" s="21"/>
      <c r="P13" s="10" t="s">
        <v>229</v>
      </c>
      <c r="Q13" s="11"/>
      <c r="R13" s="10" t="s">
        <v>9</v>
      </c>
      <c r="S13">
        <v>2014</v>
      </c>
      <c r="T13">
        <v>1</v>
      </c>
      <c r="U13" t="s">
        <v>232</v>
      </c>
      <c r="V13" t="s">
        <v>11</v>
      </c>
      <c r="W13" t="s">
        <v>216</v>
      </c>
      <c r="X13" t="s">
        <v>1332</v>
      </c>
      <c r="Y13" s="22"/>
      <c r="Z13" t="s">
        <v>1304</v>
      </c>
      <c r="AA13" s="15"/>
      <c r="AB13" t="s">
        <v>14</v>
      </c>
      <c r="AC13" s="22" t="s">
        <v>233</v>
      </c>
      <c r="AD13" t="s">
        <v>16</v>
      </c>
      <c r="AE13">
        <v>272</v>
      </c>
      <c r="AF13" s="22"/>
      <c r="AG13" t="s">
        <v>13</v>
      </c>
      <c r="AH13">
        <v>25364</v>
      </c>
      <c r="AK13">
        <v>1246169</v>
      </c>
      <c r="AL13" t="s">
        <v>116</v>
      </c>
      <c r="AM13" t="s">
        <v>117</v>
      </c>
      <c r="AN13" t="s">
        <v>13</v>
      </c>
      <c r="AO13" s="14" t="s">
        <v>13</v>
      </c>
      <c r="AP13"/>
      <c r="AQ13" s="16"/>
      <c r="AR13" s="14"/>
      <c r="AS13" s="17" t="s">
        <v>239</v>
      </c>
      <c r="AT13" s="17" t="s">
        <v>239</v>
      </c>
      <c r="AU13" t="s">
        <v>240</v>
      </c>
      <c r="AV13" s="14"/>
      <c r="AW13" s="16" t="s">
        <v>23</v>
      </c>
      <c r="AX13" t="s">
        <v>13</v>
      </c>
      <c r="AY13" t="s">
        <v>13</v>
      </c>
      <c r="AZ13" t="s">
        <v>13</v>
      </c>
      <c r="BA13" t="s">
        <v>13</v>
      </c>
      <c r="BB13" t="s">
        <v>13</v>
      </c>
      <c r="BC13" t="s">
        <v>13</v>
      </c>
      <c r="BD13" t="s">
        <v>13</v>
      </c>
      <c r="BE13"/>
      <c r="BF13" s="22" t="s">
        <v>13</v>
      </c>
      <c r="BG13" t="s">
        <v>69</v>
      </c>
      <c r="BH13" s="30"/>
      <c r="BI13" s="19"/>
      <c r="BJ13" s="19"/>
      <c r="BK13" s="19"/>
    </row>
    <row r="14" spans="1:100" ht="57.1">
      <c r="A14" t="s">
        <v>594</v>
      </c>
      <c r="B14" s="10" t="s">
        <v>595</v>
      </c>
      <c r="C14" t="s">
        <v>596</v>
      </c>
      <c r="D14">
        <v>2022</v>
      </c>
      <c r="E14" t="s">
        <v>597</v>
      </c>
      <c r="F14" s="10" t="s">
        <v>36</v>
      </c>
      <c r="G14" s="10" t="s">
        <v>37</v>
      </c>
      <c r="H14" s="20" t="s">
        <v>598</v>
      </c>
      <c r="I14" s="11" t="s">
        <v>18</v>
      </c>
      <c r="J14" t="s">
        <v>19</v>
      </c>
      <c r="K14" s="10" t="s">
        <v>607</v>
      </c>
      <c r="L14" s="10" t="s">
        <v>607</v>
      </c>
      <c r="M14" s="14" t="s">
        <v>20</v>
      </c>
      <c r="N14" t="s">
        <v>1288</v>
      </c>
      <c r="O14" s="21" t="s">
        <v>599</v>
      </c>
      <c r="P14" s="10" t="s">
        <v>600</v>
      </c>
      <c r="Q14" s="11" t="s">
        <v>601</v>
      </c>
      <c r="R14" s="10" t="s">
        <v>9</v>
      </c>
      <c r="S14">
        <v>2014</v>
      </c>
      <c r="T14">
        <v>1</v>
      </c>
      <c r="U14" t="s">
        <v>584</v>
      </c>
      <c r="V14" t="s">
        <v>343</v>
      </c>
      <c r="W14" t="s">
        <v>12</v>
      </c>
      <c r="Y14" s="13" t="s">
        <v>602</v>
      </c>
      <c r="Z14" t="s">
        <v>13</v>
      </c>
      <c r="AA14" s="15"/>
      <c r="AB14" t="s">
        <v>14</v>
      </c>
      <c r="AC14" s="22" t="s">
        <v>603</v>
      </c>
      <c r="AD14" t="s">
        <v>16</v>
      </c>
      <c r="AE14">
        <v>145</v>
      </c>
      <c r="AF14" s="13" t="s">
        <v>604</v>
      </c>
      <c r="AG14" s="10" t="s">
        <v>13</v>
      </c>
      <c r="AH14">
        <v>15516</v>
      </c>
      <c r="AI14" s="22">
        <v>15516</v>
      </c>
      <c r="AJ14" t="s">
        <v>605</v>
      </c>
      <c r="AK14" s="10" t="s">
        <v>606</v>
      </c>
      <c r="AL14" t="s">
        <v>116</v>
      </c>
      <c r="AM14" t="s">
        <v>117</v>
      </c>
      <c r="AN14" s="10" t="s">
        <v>13</v>
      </c>
      <c r="AO14" s="14" t="s">
        <v>13</v>
      </c>
      <c r="AP14"/>
      <c r="AQ14" s="16" t="s">
        <v>23</v>
      </c>
      <c r="AR14" s="14" t="s">
        <v>13</v>
      </c>
      <c r="AS14" s="17" t="s">
        <v>608</v>
      </c>
      <c r="AT14" s="17" t="s">
        <v>609</v>
      </c>
      <c r="AU14" t="s">
        <v>610</v>
      </c>
      <c r="AV14" s="14" t="s">
        <v>611</v>
      </c>
      <c r="AW14" s="16" t="s">
        <v>23</v>
      </c>
      <c r="AX14" t="s">
        <v>13</v>
      </c>
      <c r="AY14" t="s">
        <v>13</v>
      </c>
      <c r="AZ14" t="s">
        <v>13</v>
      </c>
      <c r="BA14" t="s">
        <v>13</v>
      </c>
      <c r="BB14" t="s">
        <v>13</v>
      </c>
      <c r="BC14" t="s">
        <v>13</v>
      </c>
      <c r="BD14" t="s">
        <v>13</v>
      </c>
      <c r="BE14"/>
      <c r="BF14" s="22" t="s">
        <v>13</v>
      </c>
      <c r="BG14" t="s">
        <v>69</v>
      </c>
      <c r="BH14" s="24"/>
      <c r="BI14" s="19" t="s">
        <v>612</v>
      </c>
      <c r="BJ14" s="19" t="s">
        <v>613</v>
      </c>
      <c r="BK14" s="19" t="s">
        <v>614</v>
      </c>
    </row>
    <row r="15" spans="1:100" ht="85.6">
      <c r="A15" t="s">
        <v>154</v>
      </c>
      <c r="B15" s="10" t="s">
        <v>155</v>
      </c>
      <c r="C15" t="s">
        <v>156</v>
      </c>
      <c r="D15">
        <v>2020</v>
      </c>
      <c r="E15" t="s">
        <v>157</v>
      </c>
      <c r="F15" s="10" t="s">
        <v>158</v>
      </c>
      <c r="G15" s="10" t="s">
        <v>60</v>
      </c>
      <c r="H15" s="20" t="s">
        <v>159</v>
      </c>
      <c r="I15" s="23" t="s">
        <v>167</v>
      </c>
      <c r="J15" t="s">
        <v>19</v>
      </c>
      <c r="K15" s="10" t="s">
        <v>1404</v>
      </c>
      <c r="L15" s="10" t="s">
        <v>1404</v>
      </c>
      <c r="M15" s="14" t="s">
        <v>168</v>
      </c>
      <c r="N15" t="s">
        <v>1289</v>
      </c>
      <c r="O15" s="21" t="s">
        <v>160</v>
      </c>
      <c r="P15" s="10" t="s">
        <v>161</v>
      </c>
      <c r="Q15" s="11" t="s">
        <v>162</v>
      </c>
      <c r="R15" s="10" t="s">
        <v>9</v>
      </c>
      <c r="S15">
        <v>2016</v>
      </c>
      <c r="T15">
        <v>1</v>
      </c>
      <c r="U15" t="s">
        <v>163</v>
      </c>
      <c r="V15" t="s">
        <v>11</v>
      </c>
      <c r="W15" t="s">
        <v>216</v>
      </c>
      <c r="X15" t="s">
        <v>1334</v>
      </c>
      <c r="Y15" s="13"/>
      <c r="Z15" t="s">
        <v>164</v>
      </c>
      <c r="AA15" s="15"/>
      <c r="AB15" t="s">
        <v>165</v>
      </c>
      <c r="AC15" s="22" t="s">
        <v>166</v>
      </c>
      <c r="AD15" t="s">
        <v>16</v>
      </c>
      <c r="AE15">
        <v>99</v>
      </c>
      <c r="AF15" s="22">
        <v>99</v>
      </c>
      <c r="AG15" s="10" t="s">
        <v>13</v>
      </c>
      <c r="AH15" t="s">
        <v>13</v>
      </c>
      <c r="AI15" s="22" t="s">
        <v>13</v>
      </c>
      <c r="AJ15" t="s">
        <v>13</v>
      </c>
      <c r="AK15" s="10" t="s">
        <v>13</v>
      </c>
      <c r="AL15" t="s">
        <v>116</v>
      </c>
      <c r="AM15" t="s">
        <v>117</v>
      </c>
      <c r="AN15" t="s">
        <v>13</v>
      </c>
      <c r="AO15" s="14" t="s">
        <v>13</v>
      </c>
      <c r="AP15"/>
      <c r="AQ15" s="16" t="s">
        <v>23</v>
      </c>
      <c r="AR15" s="14" t="s">
        <v>13</v>
      </c>
      <c r="AS15" s="17" t="s">
        <v>169</v>
      </c>
      <c r="AT15" s="17" t="s">
        <v>170</v>
      </c>
      <c r="AU15" t="s">
        <v>171</v>
      </c>
      <c r="AV15" s="14" t="s">
        <v>172</v>
      </c>
      <c r="AW15" s="16" t="s">
        <v>23</v>
      </c>
      <c r="AX15" t="s">
        <v>13</v>
      </c>
      <c r="AY15" t="s">
        <v>13</v>
      </c>
      <c r="AZ15" t="s">
        <v>13</v>
      </c>
      <c r="BA15" t="s">
        <v>13</v>
      </c>
      <c r="BB15" t="s">
        <v>13</v>
      </c>
      <c r="BC15" t="s">
        <v>13</v>
      </c>
      <c r="BD15" t="s">
        <v>46</v>
      </c>
      <c r="BE15"/>
      <c r="BF15" s="22" t="s">
        <v>173</v>
      </c>
      <c r="BG15" t="s">
        <v>27</v>
      </c>
      <c r="BH15" s="24" t="s">
        <v>174</v>
      </c>
      <c r="BI15" s="19" t="s">
        <v>175</v>
      </c>
      <c r="BJ15" s="19" t="s">
        <v>176</v>
      </c>
      <c r="BK15" s="19" t="s">
        <v>177</v>
      </c>
    </row>
    <row r="16" spans="1:100" ht="85.6">
      <c r="A16" t="s">
        <v>790</v>
      </c>
      <c r="B16" s="10" t="s">
        <v>791</v>
      </c>
      <c r="C16" t="s">
        <v>792</v>
      </c>
      <c r="D16">
        <v>2019</v>
      </c>
      <c r="E16" t="s">
        <v>272</v>
      </c>
      <c r="F16" s="10" t="s">
        <v>273</v>
      </c>
      <c r="G16" s="10" t="s">
        <v>60</v>
      </c>
      <c r="H16" s="20" t="s">
        <v>793</v>
      </c>
      <c r="I16" s="23" t="s">
        <v>324</v>
      </c>
      <c r="J16" t="s">
        <v>325</v>
      </c>
      <c r="K16" t="s">
        <v>1326</v>
      </c>
      <c r="L16" t="s">
        <v>1326</v>
      </c>
      <c r="M16" s="14" t="s">
        <v>168</v>
      </c>
      <c r="N16" t="s">
        <v>1289</v>
      </c>
      <c r="O16" s="21" t="s">
        <v>794</v>
      </c>
      <c r="P16" s="10" t="s">
        <v>795</v>
      </c>
      <c r="Q16" s="11" t="s">
        <v>63</v>
      </c>
      <c r="R16" s="10" t="s">
        <v>321</v>
      </c>
      <c r="S16">
        <v>2013</v>
      </c>
      <c r="T16">
        <v>2</v>
      </c>
      <c r="U16" t="s">
        <v>796</v>
      </c>
      <c r="V16" t="s">
        <v>11</v>
      </c>
      <c r="W16" t="s">
        <v>12</v>
      </c>
      <c r="Y16" s="22"/>
      <c r="Z16" t="s">
        <v>13</v>
      </c>
      <c r="AA16" s="15"/>
      <c r="AB16" t="s">
        <v>14</v>
      </c>
      <c r="AC16" s="22" t="s">
        <v>14</v>
      </c>
      <c r="AD16" t="s">
        <v>323</v>
      </c>
      <c r="AE16">
        <v>1</v>
      </c>
      <c r="AF16" s="22">
        <v>1</v>
      </c>
      <c r="AG16">
        <v>40</v>
      </c>
      <c r="AH16" t="s">
        <v>13</v>
      </c>
      <c r="AI16" s="22" t="s">
        <v>13</v>
      </c>
      <c r="AL16" t="s">
        <v>116</v>
      </c>
      <c r="AM16" t="s">
        <v>278</v>
      </c>
      <c r="AN16" t="s">
        <v>625</v>
      </c>
      <c r="AO16" s="14" t="s">
        <v>13</v>
      </c>
      <c r="AP16"/>
      <c r="AQ16" s="16"/>
      <c r="AR16" s="14"/>
      <c r="AS16" s="17" t="s">
        <v>797</v>
      </c>
      <c r="AT16" s="17" t="s">
        <v>798</v>
      </c>
      <c r="AU16"/>
      <c r="AV16" s="14"/>
      <c r="AW16" s="16" t="s">
        <v>23</v>
      </c>
      <c r="AX16" t="s">
        <v>13</v>
      </c>
      <c r="AY16" t="s">
        <v>13</v>
      </c>
      <c r="AZ16" t="s">
        <v>13</v>
      </c>
      <c r="BA16" t="s">
        <v>13</v>
      </c>
      <c r="BB16" t="s">
        <v>13</v>
      </c>
      <c r="BC16" t="s">
        <v>13</v>
      </c>
      <c r="BD16" t="s">
        <v>13</v>
      </c>
      <c r="BE16"/>
      <c r="BF16" s="22" t="s">
        <v>13</v>
      </c>
      <c r="BG16" t="s">
        <v>69</v>
      </c>
      <c r="BH16" s="24"/>
      <c r="BI16" s="19">
        <v>0</v>
      </c>
      <c r="BJ16" s="19">
        <v>0</v>
      </c>
      <c r="BK16" s="19">
        <v>0</v>
      </c>
    </row>
    <row r="17" spans="1:63" ht="142.65">
      <c r="A17" t="s">
        <v>560</v>
      </c>
      <c r="B17" s="10" t="s">
        <v>561</v>
      </c>
      <c r="C17" t="s">
        <v>562</v>
      </c>
      <c r="D17">
        <v>2017</v>
      </c>
      <c r="E17" t="s">
        <v>127</v>
      </c>
      <c r="F17" s="10" t="s">
        <v>128</v>
      </c>
      <c r="G17" s="10" t="s">
        <v>129</v>
      </c>
      <c r="H17" s="50" t="s">
        <v>563</v>
      </c>
      <c r="I17" s="23" t="s">
        <v>18</v>
      </c>
      <c r="J17" t="s">
        <v>19</v>
      </c>
      <c r="K17" t="s">
        <v>570</v>
      </c>
      <c r="L17" t="s">
        <v>570</v>
      </c>
      <c r="M17" s="14" t="s">
        <v>20</v>
      </c>
      <c r="N17" t="s">
        <v>1288</v>
      </c>
      <c r="O17" s="21" t="s">
        <v>564</v>
      </c>
      <c r="P17" s="10" t="s">
        <v>565</v>
      </c>
      <c r="Q17" s="11" t="s">
        <v>566</v>
      </c>
      <c r="R17" s="10" t="s">
        <v>9</v>
      </c>
      <c r="S17">
        <v>2007</v>
      </c>
      <c r="T17">
        <v>1</v>
      </c>
      <c r="U17" t="s">
        <v>567</v>
      </c>
      <c r="V17" s="10" t="s">
        <v>11</v>
      </c>
      <c r="W17" t="s">
        <v>12</v>
      </c>
      <c r="X17" t="s">
        <v>1338</v>
      </c>
      <c r="Y17" s="22"/>
      <c r="Z17" t="s">
        <v>13</v>
      </c>
      <c r="AA17" s="15" t="s">
        <v>568</v>
      </c>
      <c r="AB17" t="s">
        <v>14</v>
      </c>
      <c r="AC17" s="22" t="s">
        <v>569</v>
      </c>
      <c r="AD17" t="s">
        <v>16</v>
      </c>
      <c r="AE17">
        <v>110</v>
      </c>
      <c r="AF17" s="22">
        <v>110</v>
      </c>
      <c r="AG17" t="s">
        <v>13</v>
      </c>
      <c r="AH17" t="s">
        <v>13</v>
      </c>
      <c r="AI17" s="22" t="s">
        <v>13</v>
      </c>
      <c r="AK17">
        <v>16557</v>
      </c>
      <c r="AL17" t="s">
        <v>116</v>
      </c>
      <c r="AM17" t="s">
        <v>117</v>
      </c>
      <c r="AN17" t="s">
        <v>13</v>
      </c>
      <c r="AO17" s="14" t="s">
        <v>13</v>
      </c>
      <c r="AP17"/>
      <c r="AQ17" s="16" t="s">
        <v>23</v>
      </c>
      <c r="AR17" s="14" t="s">
        <v>13</v>
      </c>
      <c r="AS17" s="17" t="s">
        <v>571</v>
      </c>
      <c r="AT17" s="17" t="s">
        <v>572</v>
      </c>
      <c r="AU17" t="s">
        <v>13</v>
      </c>
      <c r="AV17" s="14" t="s">
        <v>573</v>
      </c>
      <c r="AW17" s="16" t="s">
        <v>23</v>
      </c>
      <c r="AX17" t="s">
        <v>13</v>
      </c>
      <c r="AY17" t="s">
        <v>13</v>
      </c>
      <c r="AZ17" t="s">
        <v>13</v>
      </c>
      <c r="BA17" t="s">
        <v>13</v>
      </c>
      <c r="BB17" t="s">
        <v>13</v>
      </c>
      <c r="BC17" t="s">
        <v>13</v>
      </c>
      <c r="BD17" t="s">
        <v>13</v>
      </c>
      <c r="BE17"/>
      <c r="BF17" s="22" t="s">
        <v>13</v>
      </c>
      <c r="BG17" t="s">
        <v>69</v>
      </c>
      <c r="BH17" s="24"/>
      <c r="BI17" t="s">
        <v>574</v>
      </c>
      <c r="BJ17" t="s">
        <v>575</v>
      </c>
      <c r="BK17" t="s">
        <v>576</v>
      </c>
    </row>
    <row r="18" spans="1:63" ht="85.6">
      <c r="A18" t="s">
        <v>868</v>
      </c>
      <c r="B18" s="10" t="s">
        <v>869</v>
      </c>
      <c r="C18" t="s">
        <v>870</v>
      </c>
      <c r="D18">
        <v>2016</v>
      </c>
      <c r="E18" t="s">
        <v>871</v>
      </c>
      <c r="F18" s="10" t="s">
        <v>872</v>
      </c>
      <c r="G18" s="10" t="s">
        <v>60</v>
      </c>
      <c r="H18" s="50" t="s">
        <v>873</v>
      </c>
      <c r="I18" s="23" t="s">
        <v>18</v>
      </c>
      <c r="J18" t="s">
        <v>19</v>
      </c>
      <c r="K18" s="10" t="s">
        <v>1324</v>
      </c>
      <c r="L18" s="10" t="s">
        <v>1324</v>
      </c>
      <c r="M18" s="14" t="s">
        <v>168</v>
      </c>
      <c r="N18" t="s">
        <v>1289</v>
      </c>
      <c r="O18" s="21" t="s">
        <v>874</v>
      </c>
      <c r="P18" s="10" t="s">
        <v>857</v>
      </c>
      <c r="Q18" s="11" t="s">
        <v>63</v>
      </c>
      <c r="R18" s="10" t="s">
        <v>858</v>
      </c>
      <c r="S18">
        <v>2008</v>
      </c>
      <c r="T18" s="10">
        <v>3</v>
      </c>
      <c r="U18" t="s">
        <v>822</v>
      </c>
      <c r="V18" t="s">
        <v>343</v>
      </c>
      <c r="W18" t="s">
        <v>216</v>
      </c>
      <c r="X18" t="s">
        <v>1338</v>
      </c>
      <c r="Y18" s="13"/>
      <c r="Z18" t="s">
        <v>584</v>
      </c>
      <c r="AA18" s="15"/>
      <c r="AB18" t="s">
        <v>14</v>
      </c>
      <c r="AC18" s="22" t="s">
        <v>14</v>
      </c>
      <c r="AD18" t="s">
        <v>16</v>
      </c>
      <c r="AE18">
        <v>30</v>
      </c>
      <c r="AF18" s="22">
        <v>30</v>
      </c>
      <c r="AG18" s="10" t="s">
        <v>13</v>
      </c>
      <c r="AH18" t="s">
        <v>13</v>
      </c>
      <c r="AI18" s="22" t="s">
        <v>13</v>
      </c>
      <c r="AJ18" t="s">
        <v>13</v>
      </c>
      <c r="AK18" s="10" t="s">
        <v>13</v>
      </c>
      <c r="AL18" t="s">
        <v>116</v>
      </c>
      <c r="AM18" t="s">
        <v>117</v>
      </c>
      <c r="AN18" t="s">
        <v>13</v>
      </c>
      <c r="AO18" s="14" t="s">
        <v>13</v>
      </c>
      <c r="AP18"/>
      <c r="AQ18" s="16" t="s">
        <v>23</v>
      </c>
      <c r="AR18" s="14" t="s">
        <v>13</v>
      </c>
      <c r="AS18" s="17" t="s">
        <v>875</v>
      </c>
      <c r="AT18" s="17" t="s">
        <v>280</v>
      </c>
      <c r="AU18" t="s">
        <v>13</v>
      </c>
      <c r="AV18" s="14" t="s">
        <v>13</v>
      </c>
      <c r="AW18" s="16" t="s">
        <v>23</v>
      </c>
      <c r="AX18" t="s">
        <v>13</v>
      </c>
      <c r="AY18" t="s">
        <v>13</v>
      </c>
      <c r="AZ18" t="s">
        <v>13</v>
      </c>
      <c r="BA18" t="s">
        <v>13</v>
      </c>
      <c r="BB18" t="s">
        <v>13</v>
      </c>
      <c r="BC18" t="s">
        <v>13</v>
      </c>
      <c r="BD18" t="s">
        <v>13</v>
      </c>
      <c r="BE18"/>
      <c r="BF18" s="22" t="s">
        <v>13</v>
      </c>
      <c r="BG18" s="51" t="s">
        <v>69</v>
      </c>
      <c r="BH18" s="24" t="s">
        <v>876</v>
      </c>
      <c r="BI18" s="19" t="s">
        <v>877</v>
      </c>
      <c r="BJ18" s="19" t="s">
        <v>878</v>
      </c>
      <c r="BK18" s="19">
        <v>0</v>
      </c>
    </row>
    <row r="19" spans="1:63" ht="99.85">
      <c r="A19" t="s">
        <v>496</v>
      </c>
      <c r="B19" s="10" t="s">
        <v>497</v>
      </c>
      <c r="C19" t="s">
        <v>498</v>
      </c>
      <c r="D19">
        <v>2021</v>
      </c>
      <c r="E19" t="s">
        <v>3</v>
      </c>
      <c r="F19" s="10" t="s">
        <v>4</v>
      </c>
      <c r="G19" s="10" t="s">
        <v>4</v>
      </c>
      <c r="H19" s="50" t="s">
        <v>499</v>
      </c>
      <c r="I19" s="23" t="s">
        <v>365</v>
      </c>
      <c r="J19" t="s">
        <v>365</v>
      </c>
      <c r="K19" t="s">
        <v>475</v>
      </c>
      <c r="L19" t="s">
        <v>1344</v>
      </c>
      <c r="M19" s="14" t="s">
        <v>475</v>
      </c>
      <c r="N19" t="s">
        <v>1288</v>
      </c>
      <c r="O19" s="21" t="s">
        <v>500</v>
      </c>
      <c r="P19" s="10" t="s">
        <v>471</v>
      </c>
      <c r="Q19" s="11" t="s">
        <v>501</v>
      </c>
      <c r="R19" s="10" t="s">
        <v>9</v>
      </c>
      <c r="S19">
        <v>2016</v>
      </c>
      <c r="T19">
        <v>1</v>
      </c>
      <c r="U19" t="s">
        <v>502</v>
      </c>
      <c r="V19" t="s">
        <v>11</v>
      </c>
      <c r="W19" t="s">
        <v>216</v>
      </c>
      <c r="X19" t="s">
        <v>1332</v>
      </c>
      <c r="Y19" s="13"/>
      <c r="Z19" t="s">
        <v>503</v>
      </c>
      <c r="AA19" s="15"/>
      <c r="AB19" t="s">
        <v>14</v>
      </c>
      <c r="AC19" s="22" t="s">
        <v>504</v>
      </c>
      <c r="AD19" t="s">
        <v>16</v>
      </c>
      <c r="AE19">
        <v>427</v>
      </c>
      <c r="AF19" s="22">
        <v>427</v>
      </c>
      <c r="AG19" s="10" t="s">
        <v>13</v>
      </c>
      <c r="AH19">
        <v>414254</v>
      </c>
      <c r="AI19" s="22">
        <v>414254</v>
      </c>
      <c r="AJ19">
        <v>8790293</v>
      </c>
      <c r="AK19" t="s">
        <v>13</v>
      </c>
      <c r="AL19" t="s">
        <v>116</v>
      </c>
      <c r="AM19" t="s">
        <v>117</v>
      </c>
      <c r="AN19" t="s">
        <v>13</v>
      </c>
      <c r="AO19" s="14" t="s">
        <v>13</v>
      </c>
      <c r="AP19"/>
      <c r="AQ19" s="16" t="s">
        <v>23</v>
      </c>
      <c r="AR19" s="14" t="s">
        <v>13</v>
      </c>
      <c r="AS19" s="17" t="s">
        <v>505</v>
      </c>
      <c r="AT19" s="17" t="s">
        <v>506</v>
      </c>
      <c r="AU19" t="s">
        <v>13</v>
      </c>
      <c r="AV19" s="14" t="s">
        <v>507</v>
      </c>
      <c r="AW19" s="16" t="s">
        <v>23</v>
      </c>
      <c r="AX19" t="s">
        <v>13</v>
      </c>
      <c r="AY19" t="s">
        <v>13</v>
      </c>
      <c r="AZ19" t="s">
        <v>13</v>
      </c>
      <c r="BA19" t="s">
        <v>13</v>
      </c>
      <c r="BB19" t="s">
        <v>13</v>
      </c>
      <c r="BC19" t="s">
        <v>13</v>
      </c>
      <c r="BD19" t="s">
        <v>13</v>
      </c>
      <c r="BE19"/>
      <c r="BF19" s="22" t="s">
        <v>13</v>
      </c>
      <c r="BG19" t="s">
        <v>27</v>
      </c>
      <c r="BH19" s="24" t="s">
        <v>508</v>
      </c>
      <c r="BI19" s="19" t="s">
        <v>509</v>
      </c>
      <c r="BJ19" s="19" t="s">
        <v>510</v>
      </c>
      <c r="BK19" s="19" t="s">
        <v>511</v>
      </c>
    </row>
    <row r="20" spans="1:63" ht="199.7">
      <c r="A20" t="s">
        <v>427</v>
      </c>
      <c r="B20" s="10" t="s">
        <v>428</v>
      </c>
      <c r="C20" t="s">
        <v>429</v>
      </c>
      <c r="D20">
        <v>2014</v>
      </c>
      <c r="E20" t="s">
        <v>430</v>
      </c>
      <c r="F20" s="10" t="s">
        <v>212</v>
      </c>
      <c r="G20" s="10" t="s">
        <v>212</v>
      </c>
      <c r="H20" s="50" t="s">
        <v>431</v>
      </c>
      <c r="I20" s="23" t="s">
        <v>441</v>
      </c>
      <c r="J20" t="s">
        <v>365</v>
      </c>
      <c r="K20" t="s">
        <v>1425</v>
      </c>
      <c r="L20" t="s">
        <v>1286</v>
      </c>
      <c r="M20" s="14" t="s">
        <v>442</v>
      </c>
      <c r="N20" t="s">
        <v>1288</v>
      </c>
      <c r="O20" s="21" t="s">
        <v>432</v>
      </c>
      <c r="P20" s="50" t="s">
        <v>433</v>
      </c>
      <c r="Q20" s="11"/>
      <c r="R20" s="10" t="s">
        <v>9</v>
      </c>
      <c r="S20" t="s">
        <v>434</v>
      </c>
      <c r="T20">
        <v>1</v>
      </c>
      <c r="U20" s="10" t="s">
        <v>303</v>
      </c>
      <c r="V20" t="s">
        <v>11</v>
      </c>
      <c r="W20" t="s">
        <v>216</v>
      </c>
      <c r="X20" t="s">
        <v>1332</v>
      </c>
      <c r="Y20" s="22"/>
      <c r="Z20" t="s">
        <v>584</v>
      </c>
      <c r="AA20" s="15" t="s">
        <v>435</v>
      </c>
      <c r="AB20" t="s">
        <v>14</v>
      </c>
      <c r="AC20" s="22" t="s">
        <v>436</v>
      </c>
      <c r="AD20" t="s">
        <v>16</v>
      </c>
      <c r="AE20" t="s">
        <v>437</v>
      </c>
      <c r="AF20" s="22" t="s">
        <v>437</v>
      </c>
      <c r="AG20" t="s">
        <v>438</v>
      </c>
      <c r="AH20" t="s">
        <v>1402</v>
      </c>
      <c r="AI20" s="22" t="s">
        <v>439</v>
      </c>
      <c r="AK20" t="s">
        <v>440</v>
      </c>
      <c r="AL20" t="s">
        <v>116</v>
      </c>
      <c r="AM20" t="s">
        <v>117</v>
      </c>
      <c r="AN20" t="s">
        <v>13</v>
      </c>
      <c r="AO20" s="14" t="s">
        <v>13</v>
      </c>
      <c r="AP20"/>
      <c r="AQ20" s="16" t="s">
        <v>23</v>
      </c>
      <c r="AR20" s="14" t="s">
        <v>13</v>
      </c>
      <c r="AS20" s="17" t="s">
        <v>443</v>
      </c>
      <c r="AT20" s="17" t="s">
        <v>444</v>
      </c>
      <c r="AU20" t="s">
        <v>13</v>
      </c>
      <c r="AV20" s="14" t="s">
        <v>13</v>
      </c>
      <c r="AW20" s="16" t="s">
        <v>46</v>
      </c>
      <c r="AX20" t="s">
        <v>200</v>
      </c>
      <c r="AY20" t="s">
        <v>201</v>
      </c>
      <c r="AZ20" t="s">
        <v>264</v>
      </c>
      <c r="BA20" t="s">
        <v>46</v>
      </c>
      <c r="BB20" s="10" t="s">
        <v>445</v>
      </c>
      <c r="BC20" s="10" t="s">
        <v>1339</v>
      </c>
      <c r="BD20" t="s">
        <v>23</v>
      </c>
      <c r="BE20"/>
      <c r="BF20" s="22" t="s">
        <v>446</v>
      </c>
      <c r="BG20" t="s">
        <v>69</v>
      </c>
      <c r="BH20" s="24"/>
      <c r="BI20" s="47" t="s">
        <v>447</v>
      </c>
      <c r="BJ20" s="47" t="s">
        <v>448</v>
      </c>
      <c r="BK20" s="47" t="s">
        <v>449</v>
      </c>
    </row>
    <row r="21" spans="1:63" ht="199.7">
      <c r="A21" t="s">
        <v>1274</v>
      </c>
      <c r="H21" s="50"/>
      <c r="I21" s="23"/>
      <c r="J21" t="s">
        <v>19</v>
      </c>
      <c r="K21" t="s">
        <v>366</v>
      </c>
      <c r="L21" t="s">
        <v>1345</v>
      </c>
      <c r="M21" s="14" t="s">
        <v>366</v>
      </c>
      <c r="N21" t="s">
        <v>1288</v>
      </c>
      <c r="O21" s="21"/>
      <c r="P21" s="10" t="s">
        <v>359</v>
      </c>
      <c r="Q21" s="11"/>
      <c r="R21" s="10" t="s">
        <v>9</v>
      </c>
      <c r="S21">
        <v>2006</v>
      </c>
      <c r="T21">
        <v>1</v>
      </c>
      <c r="U21" s="10" t="s">
        <v>303</v>
      </c>
      <c r="V21" t="s">
        <v>11</v>
      </c>
      <c r="W21" t="s">
        <v>216</v>
      </c>
      <c r="X21" t="s">
        <v>1332</v>
      </c>
      <c r="Y21" s="22"/>
      <c r="Z21" t="s">
        <v>584</v>
      </c>
      <c r="AA21" s="15" t="s">
        <v>435</v>
      </c>
      <c r="AB21" t="s">
        <v>14</v>
      </c>
      <c r="AC21" s="22" t="s">
        <v>436</v>
      </c>
      <c r="AD21" t="s">
        <v>16</v>
      </c>
      <c r="AE21">
        <v>146</v>
      </c>
      <c r="AF21" s="22"/>
      <c r="AG21" t="s">
        <v>13</v>
      </c>
      <c r="AH21">
        <v>531977</v>
      </c>
      <c r="AK21" t="s">
        <v>13</v>
      </c>
      <c r="AL21" t="s">
        <v>116</v>
      </c>
      <c r="AM21" t="s">
        <v>117</v>
      </c>
      <c r="AN21" t="s">
        <v>13</v>
      </c>
      <c r="AO21" s="14" t="s">
        <v>13</v>
      </c>
      <c r="AP21"/>
      <c r="AQ21" s="16" t="s">
        <v>23</v>
      </c>
      <c r="AR21" s="14" t="s">
        <v>13</v>
      </c>
      <c r="AS21" s="17" t="s">
        <v>443</v>
      </c>
      <c r="AT21" s="17" t="s">
        <v>444</v>
      </c>
      <c r="AU21" t="s">
        <v>13</v>
      </c>
      <c r="AV21" s="14" t="s">
        <v>13</v>
      </c>
      <c r="AW21" s="16" t="s">
        <v>46</v>
      </c>
      <c r="AX21" t="s">
        <v>200</v>
      </c>
      <c r="AY21" t="s">
        <v>201</v>
      </c>
      <c r="AZ21" t="s">
        <v>264</v>
      </c>
      <c r="BA21" t="s">
        <v>46</v>
      </c>
      <c r="BB21" s="10" t="s">
        <v>445</v>
      </c>
      <c r="BC21" s="10" t="s">
        <v>1339</v>
      </c>
      <c r="BD21" t="s">
        <v>23</v>
      </c>
      <c r="BE21"/>
      <c r="BG21"/>
      <c r="BH21" s="24"/>
      <c r="BI21" s="47"/>
      <c r="BJ21" s="47"/>
      <c r="BK21" s="47"/>
    </row>
    <row r="22" spans="1:63" ht="57.6" customHeight="1">
      <c r="A22" t="s">
        <v>1275</v>
      </c>
      <c r="H22" s="50"/>
      <c r="I22" s="23"/>
      <c r="J22" t="s">
        <v>365</v>
      </c>
      <c r="K22" t="s">
        <v>732</v>
      </c>
      <c r="L22" t="s">
        <v>732</v>
      </c>
      <c r="M22" s="14" t="s">
        <v>732</v>
      </c>
      <c r="N22" t="s">
        <v>1288</v>
      </c>
      <c r="O22" s="21"/>
      <c r="P22" s="10" t="s">
        <v>1276</v>
      </c>
      <c r="Q22" s="11"/>
      <c r="R22" s="10" t="s">
        <v>9</v>
      </c>
      <c r="S22">
        <v>2004</v>
      </c>
      <c r="T22">
        <v>1</v>
      </c>
      <c r="U22" s="10" t="s">
        <v>303</v>
      </c>
      <c r="V22" t="s">
        <v>11</v>
      </c>
      <c r="W22" t="s">
        <v>216</v>
      </c>
      <c r="X22" t="s">
        <v>1332</v>
      </c>
      <c r="Y22" s="22"/>
      <c r="Z22" t="s">
        <v>584</v>
      </c>
      <c r="AA22" s="15" t="s">
        <v>435</v>
      </c>
      <c r="AB22" t="s">
        <v>14</v>
      </c>
      <c r="AC22" s="22" t="s">
        <v>436</v>
      </c>
      <c r="AD22" t="s">
        <v>16</v>
      </c>
      <c r="AE22">
        <v>98</v>
      </c>
      <c r="AF22" s="22"/>
      <c r="AG22" t="s">
        <v>13</v>
      </c>
      <c r="AH22">
        <v>139620</v>
      </c>
      <c r="AK22" t="s">
        <v>13</v>
      </c>
      <c r="AL22" t="s">
        <v>116</v>
      </c>
      <c r="AM22" t="s">
        <v>117</v>
      </c>
      <c r="AN22" t="s">
        <v>13</v>
      </c>
      <c r="AO22" s="14" t="s">
        <v>13</v>
      </c>
      <c r="AP22"/>
      <c r="AQ22" s="16" t="s">
        <v>23</v>
      </c>
      <c r="AR22" s="14" t="s">
        <v>13</v>
      </c>
      <c r="AS22" s="17" t="s">
        <v>443</v>
      </c>
      <c r="AT22" s="17" t="s">
        <v>444</v>
      </c>
      <c r="AU22" t="s">
        <v>13</v>
      </c>
      <c r="AV22" s="14" t="s">
        <v>13</v>
      </c>
      <c r="AW22" s="16" t="s">
        <v>46</v>
      </c>
      <c r="AX22" t="s">
        <v>200</v>
      </c>
      <c r="AY22" t="s">
        <v>201</v>
      </c>
      <c r="AZ22" t="s">
        <v>264</v>
      </c>
      <c r="BA22" t="s">
        <v>46</v>
      </c>
      <c r="BB22" s="10" t="s">
        <v>445</v>
      </c>
      <c r="BC22" s="10" t="s">
        <v>1339</v>
      </c>
      <c r="BD22" t="s">
        <v>23</v>
      </c>
      <c r="BE22"/>
      <c r="BG22"/>
      <c r="BH22" s="24"/>
      <c r="BI22" s="47"/>
      <c r="BJ22" s="47"/>
      <c r="BK22" s="47"/>
    </row>
    <row r="23" spans="1:63" ht="57.1">
      <c r="A23" t="s">
        <v>799</v>
      </c>
      <c r="B23" s="10" t="s">
        <v>800</v>
      </c>
      <c r="C23" t="s">
        <v>801</v>
      </c>
      <c r="D23">
        <v>2018</v>
      </c>
      <c r="E23" t="s">
        <v>802</v>
      </c>
      <c r="F23" s="10" t="s">
        <v>182</v>
      </c>
      <c r="G23" s="10" t="s">
        <v>129</v>
      </c>
      <c r="H23" s="20" t="s">
        <v>803</v>
      </c>
      <c r="I23" s="23" t="s">
        <v>324</v>
      </c>
      <c r="J23" t="s">
        <v>19</v>
      </c>
      <c r="K23" t="s">
        <v>1340</v>
      </c>
      <c r="L23" t="s">
        <v>1340</v>
      </c>
      <c r="M23" s="14" t="s">
        <v>168</v>
      </c>
      <c r="N23" t="s">
        <v>1289</v>
      </c>
      <c r="O23" s="21" t="s">
        <v>804</v>
      </c>
      <c r="P23" s="50" t="s">
        <v>805</v>
      </c>
      <c r="Q23" s="11" t="s">
        <v>806</v>
      </c>
      <c r="R23" s="10" t="s">
        <v>321</v>
      </c>
      <c r="S23">
        <v>2013</v>
      </c>
      <c r="T23" t="s">
        <v>807</v>
      </c>
      <c r="U23" t="s">
        <v>808</v>
      </c>
      <c r="V23" t="s">
        <v>343</v>
      </c>
      <c r="W23" t="s">
        <v>12</v>
      </c>
      <c r="Y23" s="22"/>
      <c r="Z23" t="s">
        <v>13</v>
      </c>
      <c r="AA23" s="15"/>
      <c r="AB23" t="s">
        <v>14</v>
      </c>
      <c r="AC23" s="22" t="s">
        <v>14</v>
      </c>
      <c r="AD23" t="s">
        <v>345</v>
      </c>
      <c r="AE23">
        <v>3</v>
      </c>
      <c r="AF23" s="22">
        <v>3</v>
      </c>
      <c r="AG23">
        <v>66</v>
      </c>
      <c r="AH23" t="s">
        <v>13</v>
      </c>
      <c r="AI23" s="22" t="s">
        <v>13</v>
      </c>
      <c r="AK23" t="s">
        <v>13</v>
      </c>
      <c r="AL23" t="s">
        <v>116</v>
      </c>
      <c r="AM23" t="s">
        <v>117</v>
      </c>
      <c r="AN23" t="s">
        <v>13</v>
      </c>
      <c r="AO23" s="14" t="s">
        <v>13</v>
      </c>
      <c r="AP23"/>
      <c r="AQ23" s="16" t="s">
        <v>23</v>
      </c>
      <c r="AR23" s="14" t="s">
        <v>13</v>
      </c>
      <c r="AS23" s="17" t="s">
        <v>809</v>
      </c>
      <c r="AT23" s="17" t="s">
        <v>810</v>
      </c>
      <c r="AU23"/>
      <c r="AV23" s="51"/>
      <c r="AW23" s="16" t="s">
        <v>23</v>
      </c>
      <c r="AX23" t="s">
        <v>13</v>
      </c>
      <c r="AY23" t="s">
        <v>13</v>
      </c>
      <c r="AZ23" t="s">
        <v>13</v>
      </c>
      <c r="BA23" t="s">
        <v>13</v>
      </c>
      <c r="BB23" t="s">
        <v>13</v>
      </c>
      <c r="BC23" t="s">
        <v>13</v>
      </c>
      <c r="BD23" t="s">
        <v>13</v>
      </c>
      <c r="BE23"/>
      <c r="BF23" s="22" t="s">
        <v>13</v>
      </c>
      <c r="BG23" s="51" t="s">
        <v>69</v>
      </c>
      <c r="BH23" s="24"/>
      <c r="BI23" s="19" t="s">
        <v>811</v>
      </c>
      <c r="BJ23" s="19" t="s">
        <v>812</v>
      </c>
      <c r="BK23" s="19" t="s">
        <v>813</v>
      </c>
    </row>
    <row r="24" spans="1:63" ht="202.25" customHeight="1">
      <c r="A24" t="s">
        <v>450</v>
      </c>
      <c r="B24" s="10" t="s">
        <v>451</v>
      </c>
      <c r="C24" t="s">
        <v>452</v>
      </c>
      <c r="D24">
        <v>2018</v>
      </c>
      <c r="E24" t="s">
        <v>453</v>
      </c>
      <c r="F24" s="10" t="s">
        <v>317</v>
      </c>
      <c r="G24" s="10" t="s">
        <v>129</v>
      </c>
      <c r="H24" s="20" t="s">
        <v>454</v>
      </c>
      <c r="I24" s="23" t="s">
        <v>365</v>
      </c>
      <c r="J24" t="s">
        <v>19</v>
      </c>
      <c r="K24" t="s">
        <v>366</v>
      </c>
      <c r="L24" t="s">
        <v>1346</v>
      </c>
      <c r="M24" s="14" t="s">
        <v>366</v>
      </c>
      <c r="N24" t="s">
        <v>1288</v>
      </c>
      <c r="O24" s="21" t="s">
        <v>455</v>
      </c>
      <c r="P24" s="10" t="s">
        <v>359</v>
      </c>
      <c r="Q24" s="11" t="s">
        <v>456</v>
      </c>
      <c r="R24" s="10" t="s">
        <v>9</v>
      </c>
      <c r="S24">
        <v>2013</v>
      </c>
      <c r="T24" s="10">
        <v>2</v>
      </c>
      <c r="U24" s="33" t="s">
        <v>457</v>
      </c>
      <c r="V24" t="s">
        <v>11</v>
      </c>
      <c r="W24" t="s">
        <v>216</v>
      </c>
      <c r="X24" t="s">
        <v>1332</v>
      </c>
      <c r="Y24" s="13"/>
      <c r="Z24" t="s">
        <v>164</v>
      </c>
      <c r="AA24" s="15"/>
      <c r="AB24" t="s">
        <v>14</v>
      </c>
      <c r="AC24" s="22" t="s">
        <v>458</v>
      </c>
      <c r="AD24" s="10" t="s">
        <v>16</v>
      </c>
      <c r="AE24" s="10">
        <v>155</v>
      </c>
      <c r="AF24" s="22">
        <v>155</v>
      </c>
      <c r="AG24" t="s">
        <v>13</v>
      </c>
      <c r="AH24" t="s">
        <v>13</v>
      </c>
      <c r="AI24" s="22" t="s">
        <v>13</v>
      </c>
      <c r="AJ24">
        <v>130161023</v>
      </c>
      <c r="AK24" s="10" t="s">
        <v>459</v>
      </c>
      <c r="AL24" t="s">
        <v>116</v>
      </c>
      <c r="AM24" t="s">
        <v>117</v>
      </c>
      <c r="AN24" t="s">
        <v>13</v>
      </c>
      <c r="AO24" s="14" t="s">
        <v>13</v>
      </c>
      <c r="AP24"/>
      <c r="AQ24" s="16" t="s">
        <v>23</v>
      </c>
      <c r="AR24" s="14" t="s">
        <v>13</v>
      </c>
      <c r="AS24" s="17" t="s">
        <v>460</v>
      </c>
      <c r="AT24" s="17" t="s">
        <v>461</v>
      </c>
      <c r="AU24" t="s">
        <v>13</v>
      </c>
      <c r="AV24" s="51" t="s">
        <v>13</v>
      </c>
      <c r="AW24" s="16" t="s">
        <v>23</v>
      </c>
      <c r="AX24" t="s">
        <v>13</v>
      </c>
      <c r="AY24" t="s">
        <v>13</v>
      </c>
      <c r="AZ24" t="s">
        <v>13</v>
      </c>
      <c r="BA24" t="s">
        <v>13</v>
      </c>
      <c r="BB24" t="s">
        <v>13</v>
      </c>
      <c r="BC24" t="s">
        <v>13</v>
      </c>
      <c r="BD24" t="s">
        <v>13</v>
      </c>
      <c r="BE24"/>
      <c r="BF24" s="22" t="s">
        <v>13</v>
      </c>
      <c r="BG24" t="s">
        <v>27</v>
      </c>
      <c r="BH24" s="24" t="s">
        <v>462</v>
      </c>
      <c r="BI24" s="19" t="s">
        <v>463</v>
      </c>
      <c r="BJ24" s="19" t="s">
        <v>464</v>
      </c>
      <c r="BK24" s="19" t="s">
        <v>465</v>
      </c>
    </row>
    <row r="25" spans="1:63" ht="57.1">
      <c r="A25" t="s">
        <v>814</v>
      </c>
      <c r="B25" s="10" t="s">
        <v>815</v>
      </c>
      <c r="C25" t="s">
        <v>816</v>
      </c>
      <c r="D25">
        <v>2018</v>
      </c>
      <c r="E25" t="s">
        <v>817</v>
      </c>
      <c r="F25" s="10" t="s">
        <v>818</v>
      </c>
      <c r="G25" s="10" t="s">
        <v>60</v>
      </c>
      <c r="H25" s="20" t="s">
        <v>819</v>
      </c>
      <c r="I25" s="23" t="s">
        <v>18</v>
      </c>
      <c r="J25" t="s">
        <v>19</v>
      </c>
      <c r="K25" t="s">
        <v>1327</v>
      </c>
      <c r="L25" t="s">
        <v>1327</v>
      </c>
      <c r="M25" s="14" t="s">
        <v>825</v>
      </c>
      <c r="N25" t="s">
        <v>1289</v>
      </c>
      <c r="O25" s="21" t="s">
        <v>820</v>
      </c>
      <c r="P25" s="10"/>
      <c r="Q25" s="11" t="s">
        <v>821</v>
      </c>
      <c r="R25" s="10" t="s">
        <v>9</v>
      </c>
      <c r="S25">
        <v>2010</v>
      </c>
      <c r="T25">
        <v>6</v>
      </c>
      <c r="U25" t="s">
        <v>822</v>
      </c>
      <c r="V25" t="s">
        <v>343</v>
      </c>
      <c r="W25" t="s">
        <v>12</v>
      </c>
      <c r="Y25" s="22"/>
      <c r="Z25" t="s">
        <v>13</v>
      </c>
      <c r="AA25" s="15"/>
      <c r="AB25" t="s">
        <v>14</v>
      </c>
      <c r="AC25" s="22" t="s">
        <v>823</v>
      </c>
      <c r="AD25" s="10" t="s">
        <v>16</v>
      </c>
      <c r="AE25" s="10">
        <v>50</v>
      </c>
      <c r="AF25" s="22">
        <v>50</v>
      </c>
      <c r="AG25" t="s">
        <v>13</v>
      </c>
      <c r="AH25" t="s">
        <v>13</v>
      </c>
      <c r="AI25" s="22" t="s">
        <v>13</v>
      </c>
      <c r="AK25" t="s">
        <v>824</v>
      </c>
      <c r="AL25" t="s">
        <v>21</v>
      </c>
      <c r="AM25" t="s">
        <v>13</v>
      </c>
      <c r="AN25" t="s">
        <v>13</v>
      </c>
      <c r="AO25" s="14" t="s">
        <v>22</v>
      </c>
      <c r="AP25"/>
      <c r="AQ25" s="16"/>
      <c r="AR25" s="14"/>
      <c r="AS25" s="17" t="s">
        <v>826</v>
      </c>
      <c r="AT25" s="17" t="s">
        <v>13</v>
      </c>
      <c r="AU25" s="39" t="s">
        <v>827</v>
      </c>
      <c r="AV25" t="s">
        <v>13</v>
      </c>
      <c r="AW25" s="16" t="s">
        <v>23</v>
      </c>
      <c r="AX25" t="s">
        <v>13</v>
      </c>
      <c r="AY25" t="s">
        <v>13</v>
      </c>
      <c r="AZ25" t="s">
        <v>13</v>
      </c>
      <c r="BA25" t="s">
        <v>13</v>
      </c>
      <c r="BB25" t="s">
        <v>13</v>
      </c>
      <c r="BC25" t="s">
        <v>13</v>
      </c>
      <c r="BD25" t="s">
        <v>13</v>
      </c>
      <c r="BE25"/>
      <c r="BF25" s="22" t="s">
        <v>13</v>
      </c>
      <c r="BG25" s="51" t="s">
        <v>69</v>
      </c>
      <c r="BH25" s="24"/>
      <c r="BI25" s="19" t="s">
        <v>828</v>
      </c>
      <c r="BJ25" s="19" t="s">
        <v>829</v>
      </c>
      <c r="BK25" s="19" t="s">
        <v>830</v>
      </c>
    </row>
    <row r="26" spans="1:63" ht="409.6">
      <c r="A26" t="s">
        <v>0</v>
      </c>
      <c r="B26" s="10" t="s">
        <v>1</v>
      </c>
      <c r="C26" t="s">
        <v>2</v>
      </c>
      <c r="D26">
        <v>2018</v>
      </c>
      <c r="E26" t="s">
        <v>3</v>
      </c>
      <c r="F26" s="10" t="s">
        <v>4</v>
      </c>
      <c r="G26" s="10" t="s">
        <v>4</v>
      </c>
      <c r="H26" s="20" t="s">
        <v>5</v>
      </c>
      <c r="I26" s="11" t="s">
        <v>18</v>
      </c>
      <c r="J26" t="s">
        <v>19</v>
      </c>
      <c r="K26" s="10" t="s">
        <v>1328</v>
      </c>
      <c r="L26" s="10" t="s">
        <v>1328</v>
      </c>
      <c r="M26" s="14" t="s">
        <v>20</v>
      </c>
      <c r="N26" t="s">
        <v>1288</v>
      </c>
      <c r="O26" s="21" t="s">
        <v>6</v>
      </c>
      <c r="P26" s="10" t="s">
        <v>7</v>
      </c>
      <c r="Q26" s="11" t="s">
        <v>8</v>
      </c>
      <c r="R26" s="10" t="s">
        <v>9</v>
      </c>
      <c r="S26">
        <v>2003</v>
      </c>
      <c r="T26" s="10">
        <v>5</v>
      </c>
      <c r="U26" s="10" t="s">
        <v>10</v>
      </c>
      <c r="V26" s="10" t="s">
        <v>11</v>
      </c>
      <c r="W26" t="s">
        <v>12</v>
      </c>
      <c r="Y26" s="13"/>
      <c r="Z26" t="s">
        <v>13</v>
      </c>
      <c r="AA26" s="15"/>
      <c r="AB26" t="s">
        <v>14</v>
      </c>
      <c r="AC26" s="22" t="s">
        <v>15</v>
      </c>
      <c r="AD26" s="10" t="s">
        <v>16</v>
      </c>
      <c r="AE26" s="10">
        <v>35</v>
      </c>
      <c r="AF26" s="13" t="s">
        <v>17</v>
      </c>
      <c r="AG26" s="10" t="s">
        <v>13</v>
      </c>
      <c r="AH26" t="s">
        <v>13</v>
      </c>
      <c r="AI26" s="22" t="s">
        <v>13</v>
      </c>
      <c r="AJ26" s="10" t="s">
        <v>13</v>
      </c>
      <c r="AK26" s="10" t="s">
        <v>13</v>
      </c>
      <c r="AL26" t="s">
        <v>21</v>
      </c>
      <c r="AM26" s="10" t="s">
        <v>13</v>
      </c>
      <c r="AN26" s="10" t="s">
        <v>13</v>
      </c>
      <c r="AO26" s="14" t="s">
        <v>22</v>
      </c>
      <c r="AP26"/>
      <c r="AQ26" s="16" t="s">
        <v>23</v>
      </c>
      <c r="AR26" s="14" t="s">
        <v>13</v>
      </c>
      <c r="AS26" s="17" t="s">
        <v>24</v>
      </c>
      <c r="AT26" s="17" t="s">
        <v>25</v>
      </c>
      <c r="AU26" s="10" t="s">
        <v>26</v>
      </c>
      <c r="AV26" s="51" t="s">
        <v>13</v>
      </c>
      <c r="AW26" s="16" t="s">
        <v>23</v>
      </c>
      <c r="AX26" t="s">
        <v>13</v>
      </c>
      <c r="AY26" t="s">
        <v>13</v>
      </c>
      <c r="AZ26" t="s">
        <v>13</v>
      </c>
      <c r="BA26" t="s">
        <v>13</v>
      </c>
      <c r="BB26" t="s">
        <v>13</v>
      </c>
      <c r="BC26" t="s">
        <v>13</v>
      </c>
      <c r="BD26" t="s">
        <v>13</v>
      </c>
      <c r="BE26"/>
      <c r="BF26" s="22" t="s">
        <v>13</v>
      </c>
      <c r="BG26" t="s">
        <v>27</v>
      </c>
      <c r="BH26" s="18" t="s">
        <v>28</v>
      </c>
      <c r="BI26" s="19" t="s">
        <v>29</v>
      </c>
      <c r="BJ26" s="19" t="s">
        <v>30</v>
      </c>
      <c r="BK26" s="19" t="s">
        <v>31</v>
      </c>
    </row>
    <row r="27" spans="1:63" ht="129.1">
      <c r="A27" t="s">
        <v>723</v>
      </c>
      <c r="B27" s="10" t="s">
        <v>724</v>
      </c>
      <c r="C27" t="s">
        <v>725</v>
      </c>
      <c r="D27">
        <v>2010</v>
      </c>
      <c r="E27" t="s">
        <v>181</v>
      </c>
      <c r="F27" s="10" t="s">
        <v>182</v>
      </c>
      <c r="G27" s="10" t="s">
        <v>129</v>
      </c>
      <c r="H27" s="14" t="s">
        <v>726</v>
      </c>
      <c r="I27" s="23" t="s">
        <v>365</v>
      </c>
      <c r="J27" t="s">
        <v>365</v>
      </c>
      <c r="K27" t="s">
        <v>732</v>
      </c>
      <c r="L27" t="s">
        <v>732</v>
      </c>
      <c r="M27" s="14" t="s">
        <v>732</v>
      </c>
      <c r="N27" t="s">
        <v>1288</v>
      </c>
      <c r="O27" s="21" t="s">
        <v>727</v>
      </c>
      <c r="P27" s="10" t="s">
        <v>728</v>
      </c>
      <c r="Q27" s="11" t="s">
        <v>472</v>
      </c>
      <c r="R27" s="10" t="s">
        <v>9</v>
      </c>
      <c r="S27">
        <v>2004</v>
      </c>
      <c r="T27">
        <v>1</v>
      </c>
      <c r="U27" t="s">
        <v>729</v>
      </c>
      <c r="V27" s="10" t="s">
        <v>343</v>
      </c>
      <c r="W27" t="s">
        <v>216</v>
      </c>
      <c r="X27" t="s">
        <v>1334</v>
      </c>
      <c r="Y27" s="22"/>
      <c r="Z27" t="s">
        <v>1304</v>
      </c>
      <c r="AA27" s="15"/>
      <c r="AB27" t="s">
        <v>14</v>
      </c>
      <c r="AC27" s="22" t="s">
        <v>730</v>
      </c>
      <c r="AD27" s="10" t="s">
        <v>16</v>
      </c>
      <c r="AE27" s="10">
        <v>98</v>
      </c>
      <c r="AF27" s="22">
        <v>98</v>
      </c>
      <c r="AG27" t="s">
        <v>13</v>
      </c>
      <c r="AH27">
        <f>129620+805128</f>
        <v>934748</v>
      </c>
      <c r="AI27" s="22" t="s">
        <v>731</v>
      </c>
      <c r="AJ27" s="37">
        <v>2611452</v>
      </c>
      <c r="AK27">
        <v>1676704</v>
      </c>
      <c r="AL27" t="s">
        <v>116</v>
      </c>
      <c r="AM27" t="s">
        <v>117</v>
      </c>
      <c r="AN27" t="s">
        <v>13</v>
      </c>
      <c r="AO27" s="14" t="s">
        <v>13</v>
      </c>
      <c r="AP27"/>
      <c r="AQ27" s="16" t="s">
        <v>23</v>
      </c>
      <c r="AR27" s="14" t="s">
        <v>13</v>
      </c>
      <c r="AS27" s="17" t="s">
        <v>733</v>
      </c>
      <c r="AT27" s="17" t="s">
        <v>734</v>
      </c>
      <c r="AU27" t="s">
        <v>13</v>
      </c>
      <c r="AV27" s="14"/>
      <c r="AW27" s="16" t="s">
        <v>46</v>
      </c>
      <c r="AX27" t="s">
        <v>262</v>
      </c>
      <c r="AY27" t="s">
        <v>263</v>
      </c>
      <c r="AZ27" t="s">
        <v>202</v>
      </c>
      <c r="BA27" t="s">
        <v>23</v>
      </c>
      <c r="BB27" t="s">
        <v>13</v>
      </c>
      <c r="BC27" t="s">
        <v>13</v>
      </c>
      <c r="BD27" t="s">
        <v>23</v>
      </c>
      <c r="BE27"/>
      <c r="BF27" s="22" t="s">
        <v>13</v>
      </c>
      <c r="BG27" t="s">
        <v>69</v>
      </c>
      <c r="BH27" s="24"/>
      <c r="BI27" s="47" t="s">
        <v>735</v>
      </c>
      <c r="BJ27" s="47" t="s">
        <v>736</v>
      </c>
      <c r="BK27" s="48"/>
    </row>
    <row r="28" spans="1:63" ht="142">
      <c r="A28" t="s">
        <v>354</v>
      </c>
      <c r="B28" s="10" t="s">
        <v>355</v>
      </c>
      <c r="C28" t="s">
        <v>356</v>
      </c>
      <c r="D28">
        <v>2012</v>
      </c>
      <c r="E28" t="s">
        <v>226</v>
      </c>
      <c r="F28" s="10" t="s">
        <v>212</v>
      </c>
      <c r="G28" s="10" t="s">
        <v>212</v>
      </c>
      <c r="H28" s="20" t="s">
        <v>357</v>
      </c>
      <c r="I28" s="23" t="s">
        <v>365</v>
      </c>
      <c r="J28" t="s">
        <v>19</v>
      </c>
      <c r="K28" s="14" t="s">
        <v>366</v>
      </c>
      <c r="L28" s="14" t="s">
        <v>1345</v>
      </c>
      <c r="M28" s="14" t="s">
        <v>366</v>
      </c>
      <c r="N28" t="s">
        <v>1288</v>
      </c>
      <c r="O28" s="21" t="s">
        <v>358</v>
      </c>
      <c r="P28" s="10" t="s">
        <v>359</v>
      </c>
      <c r="Q28" s="11" t="s">
        <v>360</v>
      </c>
      <c r="R28" s="10" t="s">
        <v>9</v>
      </c>
      <c r="S28">
        <v>2006</v>
      </c>
      <c r="T28">
        <v>1</v>
      </c>
      <c r="U28" s="10" t="s">
        <v>303</v>
      </c>
      <c r="V28" t="s">
        <v>11</v>
      </c>
      <c r="W28" t="s">
        <v>216</v>
      </c>
      <c r="X28" t="s">
        <v>1332</v>
      </c>
      <c r="Y28" t="s">
        <v>1333</v>
      </c>
      <c r="Z28" t="s">
        <v>13</v>
      </c>
      <c r="AA28" s="15" t="s">
        <v>361</v>
      </c>
      <c r="AB28" t="s">
        <v>14</v>
      </c>
      <c r="AC28" s="22" t="s">
        <v>362</v>
      </c>
      <c r="AD28" s="10" t="s">
        <v>16</v>
      </c>
      <c r="AE28" s="10">
        <v>146</v>
      </c>
      <c r="AF28" s="22" t="s">
        <v>363</v>
      </c>
      <c r="AG28" t="s">
        <v>13</v>
      </c>
      <c r="AH28">
        <v>617580</v>
      </c>
      <c r="AI28" s="22" t="s">
        <v>364</v>
      </c>
      <c r="AJ28">
        <v>12929171</v>
      </c>
      <c r="AK28">
        <v>7420219</v>
      </c>
      <c r="AL28" t="s">
        <v>116</v>
      </c>
      <c r="AM28" t="s">
        <v>117</v>
      </c>
      <c r="AN28" t="s">
        <v>13</v>
      </c>
      <c r="AO28" s="14" t="s">
        <v>13</v>
      </c>
      <c r="AP28" s="14"/>
      <c r="AQ28" s="16" t="s">
        <v>23</v>
      </c>
      <c r="AR28" s="14" t="s">
        <v>13</v>
      </c>
      <c r="AS28" s="50" t="s">
        <v>367</v>
      </c>
      <c r="AT28" s="50" t="s">
        <v>368</v>
      </c>
      <c r="AU28" t="s">
        <v>369</v>
      </c>
      <c r="AV28" s="14" t="s">
        <v>370</v>
      </c>
      <c r="AW28" s="16" t="s">
        <v>46</v>
      </c>
      <c r="AX28" t="s">
        <v>262</v>
      </c>
      <c r="AY28" t="s">
        <v>263</v>
      </c>
      <c r="AZ28" t="s">
        <v>202</v>
      </c>
      <c r="BA28" t="s">
        <v>23</v>
      </c>
      <c r="BB28" t="s">
        <v>13</v>
      </c>
      <c r="BC28" t="s">
        <v>13</v>
      </c>
      <c r="BD28" t="s">
        <v>46</v>
      </c>
      <c r="BE28"/>
      <c r="BF28" s="22" t="s">
        <v>371</v>
      </c>
      <c r="BG28" t="s">
        <v>69</v>
      </c>
      <c r="BH28" s="24"/>
      <c r="BI28" s="47" t="s">
        <v>372</v>
      </c>
      <c r="BJ28" s="47" t="s">
        <v>373</v>
      </c>
      <c r="BK28" s="47" t="s">
        <v>374</v>
      </c>
    </row>
    <row r="29" spans="1:63" ht="115.85" customHeight="1">
      <c r="A29" t="s">
        <v>375</v>
      </c>
      <c r="B29" s="10" t="s">
        <v>376</v>
      </c>
      <c r="C29" t="s">
        <v>377</v>
      </c>
      <c r="D29">
        <v>2014</v>
      </c>
      <c r="E29" t="s">
        <v>378</v>
      </c>
      <c r="F29" s="10" t="s">
        <v>379</v>
      </c>
      <c r="G29" s="10" t="s">
        <v>60</v>
      </c>
      <c r="H29" s="20" t="s">
        <v>380</v>
      </c>
      <c r="I29" s="23" t="s">
        <v>365</v>
      </c>
      <c r="J29" t="s">
        <v>19</v>
      </c>
      <c r="K29" t="s">
        <v>366</v>
      </c>
      <c r="L29" t="s">
        <v>1345</v>
      </c>
      <c r="M29" s="14" t="s">
        <v>366</v>
      </c>
      <c r="N29" t="s">
        <v>1288</v>
      </c>
      <c r="O29" s="21" t="s">
        <v>358</v>
      </c>
      <c r="P29" s="10" t="s">
        <v>359</v>
      </c>
      <c r="Q29" s="11" t="s">
        <v>360</v>
      </c>
      <c r="R29" s="10" t="s">
        <v>9</v>
      </c>
      <c r="S29">
        <v>2006</v>
      </c>
      <c r="T29">
        <v>1</v>
      </c>
      <c r="U29" s="10" t="s">
        <v>303</v>
      </c>
      <c r="V29" t="s">
        <v>11</v>
      </c>
      <c r="W29" t="s">
        <v>216</v>
      </c>
      <c r="X29" t="s">
        <v>1338</v>
      </c>
      <c r="Y29" s="22" t="s">
        <v>381</v>
      </c>
      <c r="Z29" t="s">
        <v>13</v>
      </c>
      <c r="AA29" s="15" t="s">
        <v>361</v>
      </c>
      <c r="AB29" t="s">
        <v>14</v>
      </c>
      <c r="AC29" s="22" t="s">
        <v>362</v>
      </c>
      <c r="AD29" s="10" t="s">
        <v>16</v>
      </c>
      <c r="AE29" s="10">
        <v>146</v>
      </c>
      <c r="AF29" s="22">
        <v>146</v>
      </c>
      <c r="AG29" t="s">
        <v>13</v>
      </c>
      <c r="AH29">
        <v>617580</v>
      </c>
      <c r="AI29" s="22" t="s">
        <v>364</v>
      </c>
      <c r="AJ29">
        <v>12929171</v>
      </c>
      <c r="AK29">
        <v>7420219</v>
      </c>
      <c r="AL29" t="s">
        <v>116</v>
      </c>
      <c r="AM29" t="s">
        <v>117</v>
      </c>
      <c r="AN29" t="s">
        <v>13</v>
      </c>
      <c r="AO29" s="14" t="s">
        <v>13</v>
      </c>
      <c r="AP29"/>
      <c r="AQ29" s="16" t="s">
        <v>23</v>
      </c>
      <c r="AR29" s="14" t="s">
        <v>13</v>
      </c>
      <c r="AS29" s="50" t="s">
        <v>382</v>
      </c>
      <c r="AT29" s="50" t="s">
        <v>383</v>
      </c>
      <c r="AU29" t="s">
        <v>13</v>
      </c>
      <c r="AV29" s="14" t="s">
        <v>384</v>
      </c>
      <c r="AW29" s="16" t="s">
        <v>46</v>
      </c>
      <c r="AX29" t="s">
        <v>262</v>
      </c>
      <c r="AY29" t="s">
        <v>201</v>
      </c>
      <c r="AZ29" t="s">
        <v>264</v>
      </c>
      <c r="BA29" t="s">
        <v>23</v>
      </c>
      <c r="BB29" t="s">
        <v>13</v>
      </c>
      <c r="BC29" t="s">
        <v>13</v>
      </c>
      <c r="BD29" t="s">
        <v>23</v>
      </c>
      <c r="BE29"/>
      <c r="BF29" s="22" t="s">
        <v>13</v>
      </c>
      <c r="BG29" t="s">
        <v>69</v>
      </c>
      <c r="BH29" s="24"/>
      <c r="BI29" s="47" t="s">
        <v>385</v>
      </c>
      <c r="BJ29" s="48" t="s">
        <v>386</v>
      </c>
      <c r="BK29" s="47" t="s">
        <v>387</v>
      </c>
    </row>
    <row r="30" spans="1:63" ht="99.85">
      <c r="A30" t="s">
        <v>388</v>
      </c>
      <c r="B30" s="10" t="s">
        <v>389</v>
      </c>
      <c r="C30" t="s">
        <v>390</v>
      </c>
      <c r="D30">
        <v>2017</v>
      </c>
      <c r="E30" t="s">
        <v>391</v>
      </c>
      <c r="F30" s="10" t="s">
        <v>392</v>
      </c>
      <c r="G30" s="10" t="s">
        <v>60</v>
      </c>
      <c r="H30" s="20" t="s">
        <v>393</v>
      </c>
      <c r="I30" s="23" t="s">
        <v>365</v>
      </c>
      <c r="J30" t="s">
        <v>19</v>
      </c>
      <c r="K30" t="s">
        <v>366</v>
      </c>
      <c r="L30" t="s">
        <v>1345</v>
      </c>
      <c r="M30" s="14" t="s">
        <v>366</v>
      </c>
      <c r="N30" t="s">
        <v>1288</v>
      </c>
      <c r="O30" s="21" t="s">
        <v>358</v>
      </c>
      <c r="P30" s="10" t="s">
        <v>359</v>
      </c>
      <c r="Q30" s="11" t="s">
        <v>360</v>
      </c>
      <c r="R30" s="10" t="s">
        <v>9</v>
      </c>
      <c r="S30">
        <v>2013</v>
      </c>
      <c r="T30" s="10">
        <v>1</v>
      </c>
      <c r="U30" s="10" t="s">
        <v>303</v>
      </c>
      <c r="V30" t="s">
        <v>11</v>
      </c>
      <c r="W30" t="s">
        <v>216</v>
      </c>
      <c r="X30" t="s">
        <v>1332</v>
      </c>
      <c r="Y30" s="13"/>
      <c r="Z30" t="s">
        <v>164</v>
      </c>
      <c r="AA30" s="15"/>
      <c r="AB30" t="s">
        <v>14</v>
      </c>
      <c r="AC30" s="22" t="s">
        <v>394</v>
      </c>
      <c r="AD30" s="10" t="s">
        <v>16</v>
      </c>
      <c r="AE30" s="10">
        <v>146</v>
      </c>
      <c r="AF30" s="22">
        <v>146</v>
      </c>
      <c r="AG30" t="s">
        <v>13</v>
      </c>
      <c r="AH30">
        <v>617580</v>
      </c>
      <c r="AI30" s="22" t="s">
        <v>364</v>
      </c>
      <c r="AJ30">
        <v>12929171</v>
      </c>
      <c r="AK30">
        <v>7420219</v>
      </c>
      <c r="AL30" t="s">
        <v>116</v>
      </c>
      <c r="AM30" t="s">
        <v>117</v>
      </c>
      <c r="AN30" t="s">
        <v>13</v>
      </c>
      <c r="AO30" s="14" t="s">
        <v>13</v>
      </c>
      <c r="AP30"/>
      <c r="AQ30" s="16" t="s">
        <v>23</v>
      </c>
      <c r="AR30" s="14" t="s">
        <v>13</v>
      </c>
      <c r="AS30" s="17" t="s">
        <v>395</v>
      </c>
      <c r="AT30" s="17" t="s">
        <v>396</v>
      </c>
      <c r="AU30" t="s">
        <v>13</v>
      </c>
      <c r="AV30" s="14" t="s">
        <v>13</v>
      </c>
      <c r="AW30" s="16" t="s">
        <v>23</v>
      </c>
      <c r="AX30" t="s">
        <v>13</v>
      </c>
      <c r="AY30" t="s">
        <v>13</v>
      </c>
      <c r="AZ30" t="s">
        <v>13</v>
      </c>
      <c r="BA30" t="s">
        <v>13</v>
      </c>
      <c r="BB30" t="s">
        <v>13</v>
      </c>
      <c r="BC30" t="s">
        <v>13</v>
      </c>
      <c r="BD30" t="s">
        <v>13</v>
      </c>
      <c r="BE30"/>
      <c r="BF30" s="22" t="s">
        <v>13</v>
      </c>
      <c r="BG30" t="s">
        <v>69</v>
      </c>
      <c r="BH30" s="24"/>
      <c r="BI30" s="31" t="s">
        <v>397</v>
      </c>
      <c r="BJ30" s="31" t="s">
        <v>398</v>
      </c>
      <c r="BK30" s="19"/>
    </row>
    <row r="31" spans="1:63" ht="85.6">
      <c r="A31" t="s">
        <v>1114</v>
      </c>
      <c r="B31" s="10" t="s">
        <v>1115</v>
      </c>
      <c r="C31" t="s">
        <v>1116</v>
      </c>
      <c r="D31">
        <v>2017</v>
      </c>
      <c r="E31" t="s">
        <v>1117</v>
      </c>
      <c r="F31" s="10" t="s">
        <v>1118</v>
      </c>
      <c r="G31" s="10" t="s">
        <v>60</v>
      </c>
      <c r="H31" s="20" t="s">
        <v>1119</v>
      </c>
      <c r="I31" s="23" t="s">
        <v>365</v>
      </c>
      <c r="J31" t="s">
        <v>365</v>
      </c>
      <c r="K31" s="10" t="s">
        <v>406</v>
      </c>
      <c r="L31" s="10" t="s">
        <v>406</v>
      </c>
      <c r="M31" s="14" t="s">
        <v>406</v>
      </c>
      <c r="N31" t="s">
        <v>1288</v>
      </c>
      <c r="O31" s="21" t="s">
        <v>358</v>
      </c>
      <c r="P31" s="10" t="s">
        <v>359</v>
      </c>
      <c r="Q31" s="11" t="s">
        <v>360</v>
      </c>
      <c r="R31" s="10" t="s">
        <v>9</v>
      </c>
      <c r="S31" s="10">
        <v>2006</v>
      </c>
      <c r="T31" s="10">
        <v>3</v>
      </c>
      <c r="U31" s="10" t="s">
        <v>303</v>
      </c>
      <c r="V31" s="10" t="s">
        <v>403</v>
      </c>
      <c r="W31" t="s">
        <v>216</v>
      </c>
      <c r="X31" t="s">
        <v>1338</v>
      </c>
      <c r="Y31" s="13"/>
      <c r="Z31" t="s">
        <v>1304</v>
      </c>
      <c r="AA31" s="15"/>
      <c r="AB31" t="s">
        <v>14</v>
      </c>
      <c r="AC31" s="22" t="s">
        <v>14</v>
      </c>
      <c r="AD31" s="10" t="s">
        <v>16</v>
      </c>
      <c r="AE31" s="10">
        <v>52</v>
      </c>
      <c r="AF31" s="22">
        <v>52</v>
      </c>
      <c r="AG31" s="10" t="s">
        <v>13</v>
      </c>
      <c r="AH31" t="s">
        <v>13</v>
      </c>
      <c r="AI31" s="22" t="s">
        <v>13</v>
      </c>
      <c r="AJ31" t="s">
        <v>13</v>
      </c>
      <c r="AK31" s="10" t="s">
        <v>13</v>
      </c>
      <c r="AL31" t="s">
        <v>116</v>
      </c>
      <c r="AM31" t="s">
        <v>117</v>
      </c>
      <c r="AN31" t="s">
        <v>13</v>
      </c>
      <c r="AO31" s="14" t="s">
        <v>13</v>
      </c>
      <c r="AP31" s="51"/>
      <c r="AQ31" s="16" t="s">
        <v>23</v>
      </c>
      <c r="AR31" s="14" t="s">
        <v>13</v>
      </c>
      <c r="AS31" s="17" t="s">
        <v>1120</v>
      </c>
      <c r="AT31" s="17" t="s">
        <v>383</v>
      </c>
      <c r="AU31" t="s">
        <v>13</v>
      </c>
      <c r="AV31" s="14" t="s">
        <v>1121</v>
      </c>
      <c r="AW31" s="16" t="s">
        <v>23</v>
      </c>
      <c r="AX31" t="s">
        <v>13</v>
      </c>
      <c r="AY31" t="s">
        <v>13</v>
      </c>
      <c r="AZ31" t="s">
        <v>13</v>
      </c>
      <c r="BA31" t="s">
        <v>13</v>
      </c>
      <c r="BB31" t="s">
        <v>13</v>
      </c>
      <c r="BC31" t="s">
        <v>13</v>
      </c>
      <c r="BD31" t="s">
        <v>13</v>
      </c>
      <c r="BE31"/>
      <c r="BF31" s="22" t="s">
        <v>13</v>
      </c>
      <c r="BG31" s="51" t="s">
        <v>69</v>
      </c>
      <c r="BH31" s="24" t="s">
        <v>1122</v>
      </c>
      <c r="BI31" s="19" t="s">
        <v>1123</v>
      </c>
      <c r="BJ31" s="19" t="s">
        <v>1124</v>
      </c>
      <c r="BK31" s="19" t="s">
        <v>1125</v>
      </c>
    </row>
    <row r="32" spans="1:63" ht="103.25">
      <c r="A32" t="s">
        <v>399</v>
      </c>
      <c r="B32" s="10" t="s">
        <v>400</v>
      </c>
      <c r="C32" t="s">
        <v>401</v>
      </c>
      <c r="D32">
        <v>2017</v>
      </c>
      <c r="E32" t="s">
        <v>181</v>
      </c>
      <c r="F32" s="10" t="s">
        <v>182</v>
      </c>
      <c r="G32" s="10" t="s">
        <v>129</v>
      </c>
      <c r="H32" s="20" t="s">
        <v>402</v>
      </c>
      <c r="I32" s="23" t="s">
        <v>365</v>
      </c>
      <c r="J32" t="s">
        <v>19</v>
      </c>
      <c r="K32" s="51" t="s">
        <v>366</v>
      </c>
      <c r="L32" s="51" t="s">
        <v>1345</v>
      </c>
      <c r="M32" s="14" t="s">
        <v>406</v>
      </c>
      <c r="N32" t="s">
        <v>1288</v>
      </c>
      <c r="O32" s="21" t="s">
        <v>358</v>
      </c>
      <c r="P32" s="10" t="s">
        <v>359</v>
      </c>
      <c r="Q32" s="11" t="s">
        <v>360</v>
      </c>
      <c r="R32" s="10" t="s">
        <v>9</v>
      </c>
      <c r="S32" s="10">
        <v>2013</v>
      </c>
      <c r="T32" s="10">
        <v>2</v>
      </c>
      <c r="U32" s="10" t="s">
        <v>303</v>
      </c>
      <c r="V32" s="10" t="s">
        <v>403</v>
      </c>
      <c r="W32" t="s">
        <v>216</v>
      </c>
      <c r="X32" t="s">
        <v>1338</v>
      </c>
      <c r="Y32" s="13"/>
      <c r="Z32" t="s">
        <v>164</v>
      </c>
      <c r="AA32" s="15"/>
      <c r="AB32" t="s">
        <v>14</v>
      </c>
      <c r="AC32" s="22" t="s">
        <v>404</v>
      </c>
      <c r="AD32" s="10" t="s">
        <v>16</v>
      </c>
      <c r="AE32" s="10">
        <v>152</v>
      </c>
      <c r="AF32" s="22">
        <v>152</v>
      </c>
      <c r="AG32" s="10" t="s">
        <v>13</v>
      </c>
      <c r="AH32">
        <v>1092226</v>
      </c>
      <c r="AI32" s="22" t="s">
        <v>405</v>
      </c>
      <c r="AJ32">
        <v>16643460</v>
      </c>
      <c r="AK32">
        <v>4091977</v>
      </c>
      <c r="AL32" t="s">
        <v>116</v>
      </c>
      <c r="AM32" t="s">
        <v>117</v>
      </c>
      <c r="AN32" t="s">
        <v>13</v>
      </c>
      <c r="AO32" s="14" t="s">
        <v>13</v>
      </c>
      <c r="AP32" s="51"/>
      <c r="AQ32" s="16" t="s">
        <v>23</v>
      </c>
      <c r="AR32" s="14" t="s">
        <v>13</v>
      </c>
      <c r="AS32" s="17" t="s">
        <v>407</v>
      </c>
      <c r="AT32" s="17" t="s">
        <v>408</v>
      </c>
      <c r="AU32" t="s">
        <v>13</v>
      </c>
      <c r="AV32" s="14" t="s">
        <v>13</v>
      </c>
      <c r="AW32" s="16" t="s">
        <v>46</v>
      </c>
      <c r="AX32" t="s">
        <v>200</v>
      </c>
      <c r="AY32" t="s">
        <v>409</v>
      </c>
      <c r="AZ32" t="s">
        <v>264</v>
      </c>
      <c r="BA32" t="s">
        <v>23</v>
      </c>
      <c r="BB32" t="s">
        <v>13</v>
      </c>
      <c r="BC32" t="s">
        <v>13</v>
      </c>
      <c r="BD32" t="s">
        <v>23</v>
      </c>
      <c r="BE32"/>
      <c r="BF32" s="22" t="s">
        <v>13</v>
      </c>
      <c r="BG32" t="s">
        <v>410</v>
      </c>
      <c r="BH32" s="24"/>
      <c r="BI32" s="47" t="s">
        <v>411</v>
      </c>
      <c r="BJ32" s="47" t="s">
        <v>1423</v>
      </c>
      <c r="BK32" s="47" t="s">
        <v>412</v>
      </c>
    </row>
    <row r="33" spans="1:63" ht="85.6">
      <c r="A33" t="s">
        <v>413</v>
      </c>
      <c r="B33" s="10" t="s">
        <v>414</v>
      </c>
      <c r="C33" t="s">
        <v>415</v>
      </c>
      <c r="D33">
        <v>2019</v>
      </c>
      <c r="E33" t="s">
        <v>226</v>
      </c>
      <c r="F33" s="10" t="s">
        <v>212</v>
      </c>
      <c r="G33" s="10" t="s">
        <v>212</v>
      </c>
      <c r="H33" s="20" t="s">
        <v>416</v>
      </c>
      <c r="I33" s="23" t="s">
        <v>365</v>
      </c>
      <c r="J33" t="s">
        <v>19</v>
      </c>
      <c r="K33" t="s">
        <v>366</v>
      </c>
      <c r="L33" t="s">
        <v>1345</v>
      </c>
      <c r="M33" s="14" t="s">
        <v>406</v>
      </c>
      <c r="N33" t="s">
        <v>1288</v>
      </c>
      <c r="O33" s="21" t="s">
        <v>358</v>
      </c>
      <c r="P33" s="10" t="s">
        <v>359</v>
      </c>
      <c r="Q33" s="11" t="s">
        <v>360</v>
      </c>
      <c r="R33" s="10" t="s">
        <v>9</v>
      </c>
      <c r="S33" s="10">
        <v>2014</v>
      </c>
      <c r="T33" s="10">
        <v>1</v>
      </c>
      <c r="U33" s="10" t="s">
        <v>303</v>
      </c>
      <c r="V33" s="10" t="s">
        <v>403</v>
      </c>
      <c r="W33" t="s">
        <v>216</v>
      </c>
      <c r="X33" t="s">
        <v>1332</v>
      </c>
      <c r="Y33" s="13"/>
      <c r="Z33" t="s">
        <v>164</v>
      </c>
      <c r="AA33" s="14" t="s">
        <v>417</v>
      </c>
      <c r="AB33" t="s">
        <v>14</v>
      </c>
      <c r="AC33" s="22" t="s">
        <v>418</v>
      </c>
      <c r="AD33" s="10" t="s">
        <v>16</v>
      </c>
      <c r="AE33" s="10">
        <v>155</v>
      </c>
      <c r="AF33" s="22">
        <v>155</v>
      </c>
      <c r="AG33" s="10" t="s">
        <v>13</v>
      </c>
      <c r="AH33">
        <v>1208999</v>
      </c>
      <c r="AI33" s="22" t="s">
        <v>419</v>
      </c>
      <c r="AJ33" t="s">
        <v>420</v>
      </c>
      <c r="AK33" t="s">
        <v>421</v>
      </c>
      <c r="AL33" t="s">
        <v>116</v>
      </c>
      <c r="AM33" t="s">
        <v>117</v>
      </c>
      <c r="AN33" t="s">
        <v>13</v>
      </c>
      <c r="AO33" s="14" t="s">
        <v>13</v>
      </c>
      <c r="AP33"/>
      <c r="AQ33" s="16" t="s">
        <v>23</v>
      </c>
      <c r="AR33" s="14" t="s">
        <v>13</v>
      </c>
      <c r="AS33" s="17" t="s">
        <v>13</v>
      </c>
      <c r="AT33" s="17" t="s">
        <v>13</v>
      </c>
      <c r="AU33" t="s">
        <v>13</v>
      </c>
      <c r="AV33" s="14" t="s">
        <v>422</v>
      </c>
      <c r="AW33" s="16" t="s">
        <v>23</v>
      </c>
      <c r="AX33" t="s">
        <v>13</v>
      </c>
      <c r="AY33" t="s">
        <v>13</v>
      </c>
      <c r="AZ33" t="s">
        <v>13</v>
      </c>
      <c r="BA33" t="s">
        <v>13</v>
      </c>
      <c r="BB33" t="s">
        <v>13</v>
      </c>
      <c r="BC33" t="s">
        <v>13</v>
      </c>
      <c r="BD33" t="s">
        <v>13</v>
      </c>
      <c r="BE33"/>
      <c r="BF33" s="22" t="s">
        <v>13</v>
      </c>
      <c r="BG33" t="s">
        <v>69</v>
      </c>
      <c r="BH33" s="24" t="s">
        <v>423</v>
      </c>
      <c r="BI33" s="19" t="s">
        <v>424</v>
      </c>
      <c r="BJ33" s="19" t="s">
        <v>425</v>
      </c>
      <c r="BK33" s="19" t="s">
        <v>426</v>
      </c>
    </row>
    <row r="34" spans="1:63" ht="99.85">
      <c r="A34" t="s">
        <v>1361</v>
      </c>
      <c r="B34" s="10" t="s">
        <v>1362</v>
      </c>
      <c r="C34" t="s">
        <v>1363</v>
      </c>
      <c r="D34">
        <v>2025</v>
      </c>
      <c r="E34" t="s">
        <v>1364</v>
      </c>
      <c r="G34" s="10" t="s">
        <v>60</v>
      </c>
      <c r="H34" s="20" t="s">
        <v>1365</v>
      </c>
      <c r="J34" t="s">
        <v>325</v>
      </c>
      <c r="K34" s="10" t="s">
        <v>1366</v>
      </c>
      <c r="L34" s="10" t="s">
        <v>1366</v>
      </c>
      <c r="M34" s="20" t="s">
        <v>196</v>
      </c>
      <c r="N34" s="11" t="s">
        <v>1288</v>
      </c>
      <c r="O34" s="21"/>
      <c r="P34" s="11" t="s">
        <v>1367</v>
      </c>
      <c r="Q34" s="11"/>
      <c r="R34" s="10" t="s">
        <v>321</v>
      </c>
      <c r="S34">
        <v>2019</v>
      </c>
      <c r="T34">
        <v>5</v>
      </c>
      <c r="V34" s="10" t="s">
        <v>11</v>
      </c>
      <c r="W34" t="s">
        <v>12</v>
      </c>
      <c r="Y34" s="22"/>
      <c r="Z34" t="s">
        <v>13</v>
      </c>
      <c r="AA34" s="15"/>
      <c r="AB34" t="s">
        <v>14</v>
      </c>
      <c r="AD34" t="s">
        <v>323</v>
      </c>
      <c r="AE34" s="22">
        <v>1</v>
      </c>
      <c r="AF34" s="22"/>
      <c r="AG34">
        <v>175</v>
      </c>
      <c r="AH34">
        <v>992020</v>
      </c>
      <c r="AJ34" t="s">
        <v>13</v>
      </c>
      <c r="AK34" t="s">
        <v>13</v>
      </c>
      <c r="AL34" t="s">
        <v>21</v>
      </c>
      <c r="AO34" s="14" t="s">
        <v>44</v>
      </c>
      <c r="AP34"/>
      <c r="AQ34" s="16"/>
      <c r="AR34" s="20"/>
      <c r="AS34" s="17"/>
      <c r="AT34" s="17" t="s">
        <v>1368</v>
      </c>
      <c r="AU34" t="s">
        <v>13</v>
      </c>
      <c r="AV34" s="14" t="s">
        <v>13</v>
      </c>
      <c r="AW34" s="16" t="s">
        <v>46</v>
      </c>
      <c r="AX34" t="s">
        <v>200</v>
      </c>
      <c r="AY34" t="s">
        <v>201</v>
      </c>
      <c r="AZ34" t="s">
        <v>264</v>
      </c>
      <c r="BA34" s="10" t="s">
        <v>23</v>
      </c>
      <c r="BB34" s="10" t="s">
        <v>13</v>
      </c>
      <c r="BC34" t="s">
        <v>13</v>
      </c>
      <c r="BD34" s="32" t="s">
        <v>23</v>
      </c>
      <c r="BE34" s="32" t="s">
        <v>13</v>
      </c>
      <c r="BG34" t="s">
        <v>1360</v>
      </c>
      <c r="BH34" s="24"/>
      <c r="BI34" s="48"/>
      <c r="BJ34" s="48"/>
      <c r="BK34" s="48"/>
    </row>
    <row r="35" spans="1:63" ht="85.6">
      <c r="A35" t="s">
        <v>140</v>
      </c>
      <c r="B35" s="10" t="s">
        <v>141</v>
      </c>
      <c r="C35" t="s">
        <v>142</v>
      </c>
      <c r="D35">
        <v>2015</v>
      </c>
      <c r="E35" t="s">
        <v>143</v>
      </c>
      <c r="F35" s="10" t="s">
        <v>36</v>
      </c>
      <c r="G35" s="10" t="s">
        <v>37</v>
      </c>
      <c r="H35" s="20" t="s">
        <v>144</v>
      </c>
      <c r="I35" s="23" t="s">
        <v>18</v>
      </c>
      <c r="J35" t="s">
        <v>19</v>
      </c>
      <c r="K35" s="10" t="s">
        <v>1328</v>
      </c>
      <c r="L35" s="10" t="s">
        <v>1328</v>
      </c>
      <c r="M35" s="14" t="s">
        <v>20</v>
      </c>
      <c r="N35" t="s">
        <v>1288</v>
      </c>
      <c r="O35" s="21" t="s">
        <v>145</v>
      </c>
      <c r="P35" s="10" t="s">
        <v>7</v>
      </c>
      <c r="Q35" s="11" t="s">
        <v>146</v>
      </c>
      <c r="R35" s="10" t="s">
        <v>9</v>
      </c>
      <c r="S35">
        <v>2009</v>
      </c>
      <c r="T35" s="10">
        <v>1</v>
      </c>
      <c r="U35" s="28" t="s">
        <v>114</v>
      </c>
      <c r="V35" t="s">
        <v>11</v>
      </c>
      <c r="W35" t="s">
        <v>12</v>
      </c>
      <c r="Y35" s="13" t="s">
        <v>1306</v>
      </c>
      <c r="Z35" t="s">
        <v>13</v>
      </c>
      <c r="AA35" s="15"/>
      <c r="AB35" t="s">
        <v>14</v>
      </c>
      <c r="AC35" s="22" t="s">
        <v>65</v>
      </c>
      <c r="AD35" s="10" t="s">
        <v>16</v>
      </c>
      <c r="AE35" s="10">
        <v>35</v>
      </c>
      <c r="AF35" s="22">
        <v>35</v>
      </c>
      <c r="AG35" s="10" t="s">
        <v>13</v>
      </c>
      <c r="AH35">
        <v>1441</v>
      </c>
      <c r="AI35" s="22">
        <v>1441</v>
      </c>
      <c r="AJ35" t="s">
        <v>13</v>
      </c>
      <c r="AK35" t="s">
        <v>13</v>
      </c>
      <c r="AL35" t="s">
        <v>116</v>
      </c>
      <c r="AM35" t="s">
        <v>117</v>
      </c>
      <c r="AN35" t="s">
        <v>13</v>
      </c>
      <c r="AO35" s="14" t="s">
        <v>13</v>
      </c>
      <c r="AP35" t="s">
        <v>147</v>
      </c>
      <c r="AQ35" s="16" t="s">
        <v>23</v>
      </c>
      <c r="AR35" s="14" t="s">
        <v>13</v>
      </c>
      <c r="AS35" s="17" t="s">
        <v>148</v>
      </c>
      <c r="AT35" s="17" t="s">
        <v>149</v>
      </c>
      <c r="AU35" t="s">
        <v>150</v>
      </c>
      <c r="AV35" s="14" t="s">
        <v>13</v>
      </c>
      <c r="AW35" s="16" t="s">
        <v>23</v>
      </c>
      <c r="AX35" t="s">
        <v>13</v>
      </c>
      <c r="AY35" t="s">
        <v>13</v>
      </c>
      <c r="AZ35" t="s">
        <v>13</v>
      </c>
      <c r="BA35" t="s">
        <v>13</v>
      </c>
      <c r="BB35" t="s">
        <v>13</v>
      </c>
      <c r="BC35" t="s">
        <v>13</v>
      </c>
      <c r="BD35" t="s">
        <v>13</v>
      </c>
      <c r="BE35"/>
      <c r="BF35" s="22" t="s">
        <v>13</v>
      </c>
      <c r="BG35" t="s">
        <v>69</v>
      </c>
      <c r="BH35" s="24"/>
      <c r="BI35" s="19" t="s">
        <v>151</v>
      </c>
      <c r="BJ35" s="19" t="s">
        <v>152</v>
      </c>
      <c r="BK35" s="19" t="s">
        <v>153</v>
      </c>
    </row>
    <row r="36" spans="1:63" ht="114.15">
      <c r="A36" t="s">
        <v>1159</v>
      </c>
      <c r="B36" s="44" t="s">
        <v>1160</v>
      </c>
      <c r="C36" s="44" t="s">
        <v>1161</v>
      </c>
      <c r="D36">
        <v>2017</v>
      </c>
      <c r="E36" s="44" t="s">
        <v>211</v>
      </c>
      <c r="F36" s="10" t="s">
        <v>212</v>
      </c>
      <c r="G36" s="10" t="s">
        <v>212</v>
      </c>
      <c r="H36" s="20" t="s">
        <v>1162</v>
      </c>
      <c r="I36" s="23" t="s">
        <v>365</v>
      </c>
      <c r="J36" t="s">
        <v>365</v>
      </c>
      <c r="K36" t="s">
        <v>1170</v>
      </c>
      <c r="L36" t="s">
        <v>1170</v>
      </c>
      <c r="M36" s="14" t="s">
        <v>168</v>
      </c>
      <c r="N36" s="51" t="s">
        <v>1289</v>
      </c>
      <c r="O36" s="21" t="s">
        <v>1163</v>
      </c>
      <c r="P36" s="10" t="s">
        <v>161</v>
      </c>
      <c r="Q36" s="11" t="s">
        <v>1164</v>
      </c>
      <c r="R36" s="10" t="s">
        <v>9</v>
      </c>
      <c r="S36">
        <v>2006</v>
      </c>
      <c r="T36" s="10">
        <v>2</v>
      </c>
      <c r="U36" t="s">
        <v>1165</v>
      </c>
      <c r="V36" s="10" t="s">
        <v>343</v>
      </c>
      <c r="W36" t="s">
        <v>12</v>
      </c>
      <c r="Y36" s="13" t="s">
        <v>1166</v>
      </c>
      <c r="Z36" t="s">
        <v>13</v>
      </c>
      <c r="AA36" s="15"/>
      <c r="AB36" t="s">
        <v>165</v>
      </c>
      <c r="AC36" s="22" t="s">
        <v>1167</v>
      </c>
      <c r="AD36" s="10" t="s">
        <v>16</v>
      </c>
      <c r="AE36" s="10">
        <v>5667</v>
      </c>
      <c r="AF36" s="22">
        <v>5667</v>
      </c>
      <c r="AG36" s="10" t="s">
        <v>13</v>
      </c>
      <c r="AH36">
        <v>936101</v>
      </c>
      <c r="AI36" s="22">
        <v>936101</v>
      </c>
      <c r="AJ36" t="s">
        <v>1168</v>
      </c>
      <c r="AK36" t="s">
        <v>1169</v>
      </c>
      <c r="AL36" t="s">
        <v>116</v>
      </c>
      <c r="AM36" t="s">
        <v>278</v>
      </c>
      <c r="AN36" t="s">
        <v>662</v>
      </c>
      <c r="AO36" s="14" t="s">
        <v>13</v>
      </c>
      <c r="AP36" s="51"/>
      <c r="AQ36" s="16" t="s">
        <v>23</v>
      </c>
      <c r="AR36" s="14" t="s">
        <v>13</v>
      </c>
      <c r="AS36" s="17" t="s">
        <v>1171</v>
      </c>
      <c r="AT36" s="17" t="s">
        <v>1172</v>
      </c>
      <c r="AU36" s="51" t="s">
        <v>1173</v>
      </c>
      <c r="AV36" s="51" t="s">
        <v>1174</v>
      </c>
      <c r="AW36" s="16" t="s">
        <v>23</v>
      </c>
      <c r="AX36" t="s">
        <v>13</v>
      </c>
      <c r="AY36" t="s">
        <v>13</v>
      </c>
      <c r="AZ36" t="s">
        <v>13</v>
      </c>
      <c r="BA36" t="s">
        <v>13</v>
      </c>
      <c r="BB36" t="s">
        <v>13</v>
      </c>
      <c r="BC36" t="s">
        <v>13</v>
      </c>
      <c r="BD36" t="s">
        <v>13</v>
      </c>
      <c r="BE36"/>
      <c r="BF36" s="22" t="s">
        <v>13</v>
      </c>
      <c r="BG36" s="51" t="s">
        <v>27</v>
      </c>
      <c r="BH36" s="24" t="s">
        <v>1175</v>
      </c>
      <c r="BI36" s="19" t="s">
        <v>1176</v>
      </c>
      <c r="BJ36" s="19" t="s">
        <v>1177</v>
      </c>
      <c r="BK36" s="19" t="s">
        <v>1178</v>
      </c>
    </row>
    <row r="37" spans="1:63" ht="114.15">
      <c r="A37" t="s">
        <v>294</v>
      </c>
      <c r="B37" s="10" t="s">
        <v>295</v>
      </c>
      <c r="C37" t="s">
        <v>296</v>
      </c>
      <c r="D37">
        <v>2019</v>
      </c>
      <c r="E37" t="s">
        <v>297</v>
      </c>
      <c r="F37" s="10" t="s">
        <v>298</v>
      </c>
      <c r="G37" s="10" t="s">
        <v>60</v>
      </c>
      <c r="H37" s="20" t="s">
        <v>299</v>
      </c>
      <c r="I37" s="23" t="s">
        <v>18</v>
      </c>
      <c r="J37" t="s">
        <v>19</v>
      </c>
      <c r="K37" t="s">
        <v>1312</v>
      </c>
      <c r="L37" t="s">
        <v>1342</v>
      </c>
      <c r="M37" s="14" t="s">
        <v>168</v>
      </c>
      <c r="N37" t="s">
        <v>1289</v>
      </c>
      <c r="O37" s="21" t="s">
        <v>300</v>
      </c>
      <c r="P37" s="10" t="s">
        <v>301</v>
      </c>
      <c r="Q37" s="11" t="s">
        <v>302</v>
      </c>
      <c r="R37" s="10" t="s">
        <v>9</v>
      </c>
      <c r="S37">
        <v>2016</v>
      </c>
      <c r="T37" s="10">
        <v>1</v>
      </c>
      <c r="U37" s="10" t="s">
        <v>303</v>
      </c>
      <c r="V37" t="s">
        <v>11</v>
      </c>
      <c r="W37" t="s">
        <v>216</v>
      </c>
      <c r="X37" t="s">
        <v>1332</v>
      </c>
      <c r="Y37" s="13"/>
      <c r="Z37" t="s">
        <v>584</v>
      </c>
      <c r="AA37" s="14" t="s">
        <v>304</v>
      </c>
      <c r="AB37" t="s">
        <v>165</v>
      </c>
      <c r="AC37" s="22" t="s">
        <v>305</v>
      </c>
      <c r="AD37" t="s">
        <v>16</v>
      </c>
      <c r="AE37">
        <v>20</v>
      </c>
      <c r="AF37" s="22" t="s">
        <v>306</v>
      </c>
      <c r="AG37" t="s">
        <v>13</v>
      </c>
      <c r="AH37" t="s">
        <v>13</v>
      </c>
      <c r="AI37" s="22" t="s">
        <v>13</v>
      </c>
      <c r="AJ37" t="s">
        <v>13</v>
      </c>
      <c r="AK37" t="s">
        <v>13</v>
      </c>
      <c r="AL37" t="s">
        <v>116</v>
      </c>
      <c r="AM37" t="s">
        <v>117</v>
      </c>
      <c r="AN37" t="s">
        <v>13</v>
      </c>
      <c r="AO37" s="14" t="s">
        <v>13</v>
      </c>
      <c r="AP37"/>
      <c r="AQ37" s="16" t="s">
        <v>23</v>
      </c>
      <c r="AR37" s="14" t="s">
        <v>13</v>
      </c>
      <c r="AS37" s="17" t="s">
        <v>307</v>
      </c>
      <c r="AT37" s="17" t="s">
        <v>13</v>
      </c>
      <c r="AU37" t="s">
        <v>13</v>
      </c>
      <c r="AV37" s="14" t="s">
        <v>308</v>
      </c>
      <c r="AW37" s="16" t="s">
        <v>23</v>
      </c>
      <c r="AX37" t="s">
        <v>13</v>
      </c>
      <c r="AY37" t="s">
        <v>13</v>
      </c>
      <c r="AZ37" t="s">
        <v>13</v>
      </c>
      <c r="BA37" t="s">
        <v>13</v>
      </c>
      <c r="BB37" t="s">
        <v>13</v>
      </c>
      <c r="BC37" t="s">
        <v>13</v>
      </c>
      <c r="BD37" t="s">
        <v>13</v>
      </c>
      <c r="BE37"/>
      <c r="BF37" s="22" t="s">
        <v>13</v>
      </c>
      <c r="BG37" t="s">
        <v>27</v>
      </c>
      <c r="BH37" s="24" t="s">
        <v>309</v>
      </c>
      <c r="BI37" s="19" t="s">
        <v>310</v>
      </c>
      <c r="BJ37" s="19" t="s">
        <v>311</v>
      </c>
      <c r="BK37" s="19" t="s">
        <v>312</v>
      </c>
    </row>
    <row r="38" spans="1:63" ht="71.349999999999994">
      <c r="A38" t="s">
        <v>879</v>
      </c>
      <c r="B38" s="10" t="s">
        <v>880</v>
      </c>
      <c r="C38" t="s">
        <v>881</v>
      </c>
      <c r="D38">
        <v>2010</v>
      </c>
      <c r="E38" t="s">
        <v>272</v>
      </c>
      <c r="F38" s="10" t="s">
        <v>273</v>
      </c>
      <c r="G38" s="10" t="s">
        <v>60</v>
      </c>
      <c r="H38" s="20" t="s">
        <v>882</v>
      </c>
      <c r="I38" s="23" t="s">
        <v>18</v>
      </c>
      <c r="J38" t="s">
        <v>19</v>
      </c>
      <c r="K38" s="10" t="s">
        <v>1324</v>
      </c>
      <c r="L38" s="10" t="s">
        <v>1324</v>
      </c>
      <c r="M38" s="14" t="s">
        <v>168</v>
      </c>
      <c r="N38" t="s">
        <v>1289</v>
      </c>
      <c r="O38" s="40" t="s">
        <v>883</v>
      </c>
      <c r="P38" s="10" t="s">
        <v>884</v>
      </c>
      <c r="Q38" s="11" t="s">
        <v>885</v>
      </c>
      <c r="R38" s="10" t="s">
        <v>9</v>
      </c>
      <c r="S38">
        <v>2005</v>
      </c>
      <c r="T38" s="10">
        <v>1</v>
      </c>
      <c r="U38" t="s">
        <v>342</v>
      </c>
      <c r="V38" t="s">
        <v>343</v>
      </c>
      <c r="W38" t="s">
        <v>216</v>
      </c>
      <c r="X38" t="s">
        <v>1332</v>
      </c>
      <c r="Y38" s="13"/>
      <c r="Z38" t="s">
        <v>1304</v>
      </c>
      <c r="AA38" s="15"/>
      <c r="AB38" t="s">
        <v>14</v>
      </c>
      <c r="AC38" s="22" t="s">
        <v>886</v>
      </c>
      <c r="AD38" s="10" t="s">
        <v>16</v>
      </c>
      <c r="AE38" s="10">
        <v>32</v>
      </c>
      <c r="AF38" s="22">
        <v>32</v>
      </c>
      <c r="AG38" s="10" t="s">
        <v>13</v>
      </c>
      <c r="AH38">
        <v>54376</v>
      </c>
      <c r="AI38" s="22" t="s">
        <v>887</v>
      </c>
      <c r="AJ38">
        <v>319918</v>
      </c>
      <c r="AK38">
        <v>238505</v>
      </c>
      <c r="AL38" t="s">
        <v>116</v>
      </c>
      <c r="AM38" t="s">
        <v>117</v>
      </c>
      <c r="AN38" t="s">
        <v>13</v>
      </c>
      <c r="AO38" s="14" t="s">
        <v>13</v>
      </c>
      <c r="AP38"/>
      <c r="AQ38" s="16" t="s">
        <v>23</v>
      </c>
      <c r="AR38" s="14" t="s">
        <v>13</v>
      </c>
      <c r="AS38" s="17" t="s">
        <v>13</v>
      </c>
      <c r="AT38" s="17" t="s">
        <v>13</v>
      </c>
      <c r="AU38" t="s">
        <v>13</v>
      </c>
      <c r="AV38" s="14" t="s">
        <v>888</v>
      </c>
      <c r="AW38" s="16" t="s">
        <v>23</v>
      </c>
      <c r="AX38" t="s">
        <v>13</v>
      </c>
      <c r="AY38" t="s">
        <v>13</v>
      </c>
      <c r="AZ38" t="s">
        <v>13</v>
      </c>
      <c r="BA38" t="s">
        <v>13</v>
      </c>
      <c r="BB38" t="s">
        <v>13</v>
      </c>
      <c r="BC38" t="s">
        <v>13</v>
      </c>
      <c r="BD38" t="s">
        <v>13</v>
      </c>
      <c r="BE38"/>
      <c r="BF38" s="22" t="s">
        <v>13</v>
      </c>
      <c r="BG38" s="51" t="s">
        <v>27</v>
      </c>
      <c r="BH38" s="24"/>
      <c r="BI38" s="19" t="s">
        <v>889</v>
      </c>
      <c r="BJ38" s="19" t="s">
        <v>890</v>
      </c>
      <c r="BK38" s="19" t="s">
        <v>891</v>
      </c>
    </row>
    <row r="39" spans="1:63" ht="142">
      <c r="A39" t="s">
        <v>242</v>
      </c>
      <c r="B39" s="10" t="s">
        <v>243</v>
      </c>
      <c r="C39" t="s">
        <v>244</v>
      </c>
      <c r="D39">
        <v>2022</v>
      </c>
      <c r="E39" t="s">
        <v>245</v>
      </c>
      <c r="F39" s="10" t="s">
        <v>77</v>
      </c>
      <c r="G39" s="10" t="s">
        <v>4</v>
      </c>
      <c r="H39" s="20" t="s">
        <v>246</v>
      </c>
      <c r="I39" s="23" t="s">
        <v>258</v>
      </c>
      <c r="J39" t="s">
        <v>19</v>
      </c>
      <c r="K39" t="s">
        <v>259</v>
      </c>
      <c r="L39" t="s">
        <v>1286</v>
      </c>
      <c r="M39" s="14" t="s">
        <v>168</v>
      </c>
      <c r="N39" t="s">
        <v>1289</v>
      </c>
      <c r="O39" s="21" t="s">
        <v>247</v>
      </c>
      <c r="P39" s="10" t="s">
        <v>248</v>
      </c>
      <c r="Q39" s="11" t="s">
        <v>249</v>
      </c>
      <c r="R39" s="10" t="s">
        <v>9</v>
      </c>
      <c r="S39" s="10" t="s">
        <v>250</v>
      </c>
      <c r="T39" t="s">
        <v>251</v>
      </c>
      <c r="U39" t="s">
        <v>252</v>
      </c>
      <c r="V39" t="s">
        <v>11</v>
      </c>
      <c r="W39" t="s">
        <v>12</v>
      </c>
      <c r="Y39" s="13" t="s">
        <v>253</v>
      </c>
      <c r="Z39" t="s">
        <v>13</v>
      </c>
      <c r="AA39" s="15"/>
      <c r="AB39" t="s">
        <v>14</v>
      </c>
      <c r="AC39" s="22" t="s">
        <v>254</v>
      </c>
      <c r="AD39" s="10" t="s">
        <v>16</v>
      </c>
      <c r="AE39" s="10" t="s">
        <v>255</v>
      </c>
      <c r="AF39" s="22" t="s">
        <v>255</v>
      </c>
      <c r="AG39" s="10" t="s">
        <v>13</v>
      </c>
      <c r="AH39" t="s">
        <v>1402</v>
      </c>
      <c r="AI39" s="22" t="s">
        <v>256</v>
      </c>
      <c r="AJ39" t="s">
        <v>257</v>
      </c>
      <c r="AK39" t="s">
        <v>13</v>
      </c>
      <c r="AL39" t="s">
        <v>116</v>
      </c>
      <c r="AM39" t="s">
        <v>117</v>
      </c>
      <c r="AN39" t="s">
        <v>13</v>
      </c>
      <c r="AO39" s="14" t="s">
        <v>13</v>
      </c>
      <c r="AP39"/>
      <c r="AQ39" s="16" t="s">
        <v>23</v>
      </c>
      <c r="AR39" s="14" t="s">
        <v>13</v>
      </c>
      <c r="AS39" s="17" t="s">
        <v>260</v>
      </c>
      <c r="AT39" s="17" t="s">
        <v>261</v>
      </c>
      <c r="AU39" t="s">
        <v>13</v>
      </c>
      <c r="AV39" s="14" t="s">
        <v>13</v>
      </c>
      <c r="AW39" s="16" t="s">
        <v>46</v>
      </c>
      <c r="AX39" t="s">
        <v>262</v>
      </c>
      <c r="AY39" t="s">
        <v>263</v>
      </c>
      <c r="AZ39" t="s">
        <v>264</v>
      </c>
      <c r="BA39" t="s">
        <v>23</v>
      </c>
      <c r="BB39" t="s">
        <v>13</v>
      </c>
      <c r="BC39" t="s">
        <v>13</v>
      </c>
      <c r="BD39" t="s">
        <v>23</v>
      </c>
      <c r="BE39"/>
      <c r="BF39" s="22" t="s">
        <v>13</v>
      </c>
      <c r="BG39" t="s">
        <v>27</v>
      </c>
      <c r="BH39" s="24" t="s">
        <v>265</v>
      </c>
      <c r="BI39" s="47" t="s">
        <v>266</v>
      </c>
      <c r="BJ39" s="47" t="s">
        <v>267</v>
      </c>
      <c r="BK39" s="47" t="s">
        <v>268</v>
      </c>
    </row>
    <row r="40" spans="1:63" ht="100.9" customHeight="1">
      <c r="A40" t="s">
        <v>1270</v>
      </c>
      <c r="I40" s="23"/>
      <c r="J40" t="s">
        <v>19</v>
      </c>
      <c r="K40" t="s">
        <v>1312</v>
      </c>
      <c r="L40" t="s">
        <v>1343</v>
      </c>
      <c r="M40" s="14" t="s">
        <v>168</v>
      </c>
      <c r="N40" t="s">
        <v>1289</v>
      </c>
      <c r="O40" s="21"/>
      <c r="P40" s="10" t="s">
        <v>248</v>
      </c>
      <c r="Q40" s="11"/>
      <c r="R40" s="10" t="s">
        <v>9</v>
      </c>
      <c r="S40" s="10">
        <v>2003</v>
      </c>
      <c r="T40">
        <v>9</v>
      </c>
      <c r="U40" t="s">
        <v>252</v>
      </c>
      <c r="V40" t="s">
        <v>11</v>
      </c>
      <c r="W40" t="s">
        <v>12</v>
      </c>
      <c r="Y40" s="13" t="s">
        <v>253</v>
      </c>
      <c r="Z40" t="s">
        <v>13</v>
      </c>
      <c r="AA40" s="15"/>
      <c r="AB40" t="s">
        <v>14</v>
      </c>
      <c r="AC40" s="22" t="s">
        <v>254</v>
      </c>
      <c r="AD40" s="10" t="s">
        <v>16</v>
      </c>
      <c r="AE40" s="10">
        <v>372</v>
      </c>
      <c r="AF40" s="22"/>
      <c r="AG40" s="10"/>
      <c r="AH40">
        <v>214529</v>
      </c>
      <c r="AJ40">
        <v>34045231</v>
      </c>
      <c r="AK40" t="s">
        <v>13</v>
      </c>
      <c r="AL40" t="s">
        <v>116</v>
      </c>
      <c r="AM40" t="s">
        <v>117</v>
      </c>
      <c r="AN40" t="s">
        <v>13</v>
      </c>
      <c r="AO40" s="14" t="s">
        <v>13</v>
      </c>
      <c r="AP40"/>
      <c r="AQ40" s="16"/>
      <c r="AR40" s="14"/>
      <c r="AS40" s="17" t="s">
        <v>260</v>
      </c>
      <c r="AT40" s="17" t="s">
        <v>261</v>
      </c>
      <c r="AU40" t="s">
        <v>13</v>
      </c>
      <c r="AV40" s="14" t="s">
        <v>13</v>
      </c>
      <c r="AW40" s="16" t="s">
        <v>46</v>
      </c>
      <c r="AX40" t="s">
        <v>262</v>
      </c>
      <c r="AY40" t="s">
        <v>263</v>
      </c>
      <c r="AZ40" t="s">
        <v>264</v>
      </c>
      <c r="BA40" t="s">
        <v>23</v>
      </c>
      <c r="BB40" t="s">
        <v>13</v>
      </c>
      <c r="BC40" t="s">
        <v>13</v>
      </c>
      <c r="BD40" t="s">
        <v>23</v>
      </c>
      <c r="BE40"/>
      <c r="BF40" s="22" t="s">
        <v>13</v>
      </c>
      <c r="BG40" s="14"/>
      <c r="BH40" s="24"/>
      <c r="BI40" s="47"/>
      <c r="BJ40" s="47"/>
      <c r="BK40" s="47"/>
    </row>
    <row r="41" spans="1:63" ht="86.45" customHeight="1">
      <c r="A41" t="s">
        <v>1271</v>
      </c>
      <c r="I41" s="23"/>
      <c r="J41" t="s">
        <v>19</v>
      </c>
      <c r="K41" t="s">
        <v>1314</v>
      </c>
      <c r="L41" t="s">
        <v>1314</v>
      </c>
      <c r="M41" s="14" t="s">
        <v>168</v>
      </c>
      <c r="N41" t="s">
        <v>1289</v>
      </c>
      <c r="O41" s="11"/>
      <c r="P41" s="10" t="s">
        <v>248</v>
      </c>
      <c r="Q41" s="11"/>
      <c r="R41" s="10" t="s">
        <v>9</v>
      </c>
      <c r="S41" s="10">
        <v>2009</v>
      </c>
      <c r="T41">
        <v>7</v>
      </c>
      <c r="U41" t="s">
        <v>252</v>
      </c>
      <c r="V41" t="s">
        <v>11</v>
      </c>
      <c r="W41" t="s">
        <v>12</v>
      </c>
      <c r="Y41" s="13" t="s">
        <v>253</v>
      </c>
      <c r="Z41" t="s">
        <v>13</v>
      </c>
      <c r="AA41" s="15"/>
      <c r="AB41" t="s">
        <v>14</v>
      </c>
      <c r="AC41" s="22" t="s">
        <v>254</v>
      </c>
      <c r="AD41" s="10" t="s">
        <v>16</v>
      </c>
      <c r="AE41" s="10">
        <v>116</v>
      </c>
      <c r="AF41" s="22"/>
      <c r="AG41" s="10"/>
      <c r="AH41">
        <v>38006</v>
      </c>
      <c r="AJ41">
        <v>2250928</v>
      </c>
      <c r="AK41" t="s">
        <v>13</v>
      </c>
      <c r="AL41" t="s">
        <v>116</v>
      </c>
      <c r="AM41" t="s">
        <v>117</v>
      </c>
      <c r="AN41" t="s">
        <v>13</v>
      </c>
      <c r="AO41" s="14" t="s">
        <v>13</v>
      </c>
      <c r="AP41"/>
      <c r="AQ41" s="16"/>
      <c r="AR41" s="14"/>
      <c r="AS41" s="17" t="s">
        <v>260</v>
      </c>
      <c r="AT41" s="17" t="s">
        <v>261</v>
      </c>
      <c r="AU41" t="s">
        <v>13</v>
      </c>
      <c r="AV41" s="14" t="s">
        <v>13</v>
      </c>
      <c r="AW41" s="16" t="s">
        <v>46</v>
      </c>
      <c r="AX41" t="s">
        <v>262</v>
      </c>
      <c r="AY41" t="s">
        <v>263</v>
      </c>
      <c r="AZ41" t="s">
        <v>264</v>
      </c>
      <c r="BA41" t="s">
        <v>23</v>
      </c>
      <c r="BB41" t="s">
        <v>13</v>
      </c>
      <c r="BC41" t="s">
        <v>13</v>
      </c>
      <c r="BD41" t="s">
        <v>23</v>
      </c>
      <c r="BE41"/>
      <c r="BF41" s="22" t="s">
        <v>13</v>
      </c>
      <c r="BG41"/>
      <c r="BH41" s="24"/>
      <c r="BI41" s="47"/>
      <c r="BJ41" s="47"/>
      <c r="BK41" s="47"/>
    </row>
    <row r="42" spans="1:63" ht="73.2" customHeight="1">
      <c r="A42" t="s">
        <v>1272</v>
      </c>
      <c r="I42" s="23"/>
      <c r="J42" t="s">
        <v>19</v>
      </c>
      <c r="K42" t="s">
        <v>1315</v>
      </c>
      <c r="L42" t="s">
        <v>1315</v>
      </c>
      <c r="M42" s="14" t="s">
        <v>168</v>
      </c>
      <c r="N42" t="s">
        <v>1289</v>
      </c>
      <c r="O42" s="21"/>
      <c r="P42" s="10" t="s">
        <v>248</v>
      </c>
      <c r="Q42" s="11"/>
      <c r="R42" s="10" t="s">
        <v>9</v>
      </c>
      <c r="S42" s="10">
        <v>2009</v>
      </c>
      <c r="T42">
        <v>6</v>
      </c>
      <c r="U42" t="s">
        <v>252</v>
      </c>
      <c r="V42" t="s">
        <v>11</v>
      </c>
      <c r="W42" t="s">
        <v>12</v>
      </c>
      <c r="Y42" s="13" t="s">
        <v>253</v>
      </c>
      <c r="Z42" t="s">
        <v>13</v>
      </c>
      <c r="AA42" s="15"/>
      <c r="AB42" t="s">
        <v>14</v>
      </c>
      <c r="AC42" s="22" t="s">
        <v>254</v>
      </c>
      <c r="AD42" s="10" t="s">
        <v>16</v>
      </c>
      <c r="AE42" s="10">
        <v>54</v>
      </c>
      <c r="AF42" s="22"/>
      <c r="AG42" s="10"/>
      <c r="AH42">
        <v>20133</v>
      </c>
      <c r="AJ42">
        <v>1144447</v>
      </c>
      <c r="AK42" t="s">
        <v>13</v>
      </c>
      <c r="AL42" t="s">
        <v>116</v>
      </c>
      <c r="AM42" t="s">
        <v>117</v>
      </c>
      <c r="AN42" t="s">
        <v>13</v>
      </c>
      <c r="AO42" s="14" t="s">
        <v>13</v>
      </c>
      <c r="AP42"/>
      <c r="AQ42" s="16"/>
      <c r="AR42" s="14"/>
      <c r="AS42" s="17" t="s">
        <v>260</v>
      </c>
      <c r="AT42" s="17" t="s">
        <v>261</v>
      </c>
      <c r="AU42" t="s">
        <v>13</v>
      </c>
      <c r="AV42" s="14" t="s">
        <v>13</v>
      </c>
      <c r="AW42" s="16" t="s">
        <v>46</v>
      </c>
      <c r="AX42" t="s">
        <v>262</v>
      </c>
      <c r="AY42" t="s">
        <v>263</v>
      </c>
      <c r="AZ42" t="s">
        <v>264</v>
      </c>
      <c r="BA42" t="s">
        <v>23</v>
      </c>
      <c r="BB42" t="s">
        <v>13</v>
      </c>
      <c r="BC42" t="s">
        <v>13</v>
      </c>
      <c r="BD42" t="s">
        <v>23</v>
      </c>
      <c r="BE42"/>
      <c r="BF42" s="22" t="s">
        <v>13</v>
      </c>
      <c r="BG42"/>
      <c r="BH42" s="24"/>
      <c r="BI42" s="47"/>
      <c r="BJ42" s="47"/>
      <c r="BK42" s="47"/>
    </row>
    <row r="43" spans="1:63" ht="115.15" customHeight="1">
      <c r="A43" t="s">
        <v>892</v>
      </c>
      <c r="B43" s="10" t="s">
        <v>893</v>
      </c>
      <c r="C43" t="s">
        <v>894</v>
      </c>
      <c r="D43">
        <v>2012</v>
      </c>
      <c r="E43" t="s">
        <v>430</v>
      </c>
      <c r="F43" s="10" t="s">
        <v>212</v>
      </c>
      <c r="G43" s="10" t="s">
        <v>212</v>
      </c>
      <c r="H43" s="51" t="s">
        <v>895</v>
      </c>
      <c r="I43" s="23" t="s">
        <v>18</v>
      </c>
      <c r="J43" t="s">
        <v>19</v>
      </c>
      <c r="K43" s="10" t="s">
        <v>1324</v>
      </c>
      <c r="L43" s="10" t="s">
        <v>1324</v>
      </c>
      <c r="M43" s="14" t="s">
        <v>168</v>
      </c>
      <c r="N43" t="s">
        <v>1289</v>
      </c>
      <c r="O43" s="21" t="s">
        <v>874</v>
      </c>
      <c r="P43" s="50" t="s">
        <v>857</v>
      </c>
      <c r="Q43" s="11" t="s">
        <v>896</v>
      </c>
      <c r="R43" s="10" t="s">
        <v>858</v>
      </c>
      <c r="S43">
        <v>2005</v>
      </c>
      <c r="T43" s="10">
        <v>1</v>
      </c>
      <c r="U43" t="s">
        <v>342</v>
      </c>
      <c r="V43" t="s">
        <v>343</v>
      </c>
      <c r="W43" t="s">
        <v>216</v>
      </c>
      <c r="X43" t="s">
        <v>1332</v>
      </c>
      <c r="Y43" s="13"/>
      <c r="Z43" t="s">
        <v>1304</v>
      </c>
      <c r="AA43" s="15"/>
      <c r="AB43" t="s">
        <v>14</v>
      </c>
      <c r="AC43" s="22" t="s">
        <v>897</v>
      </c>
      <c r="AD43" s="10" t="s">
        <v>16</v>
      </c>
      <c r="AE43" s="10">
        <v>30</v>
      </c>
      <c r="AF43" s="22" t="s">
        <v>898</v>
      </c>
      <c r="AG43" s="10" t="s">
        <v>13</v>
      </c>
      <c r="AH43" t="s">
        <v>13</v>
      </c>
      <c r="AI43" s="22" t="s">
        <v>13</v>
      </c>
      <c r="AJ43" t="s">
        <v>899</v>
      </c>
      <c r="AK43" s="10" t="s">
        <v>13</v>
      </c>
      <c r="AL43" t="s">
        <v>116</v>
      </c>
      <c r="AM43" t="s">
        <v>117</v>
      </c>
      <c r="AN43" t="s">
        <v>13</v>
      </c>
      <c r="AO43" s="14" t="s">
        <v>13</v>
      </c>
      <c r="AP43"/>
      <c r="AQ43" s="16" t="s">
        <v>23</v>
      </c>
      <c r="AR43" s="14" t="s">
        <v>13</v>
      </c>
      <c r="AS43" s="50" t="s">
        <v>13</v>
      </c>
      <c r="AT43" s="50" t="s">
        <v>13</v>
      </c>
      <c r="AU43" t="s">
        <v>13</v>
      </c>
      <c r="AV43" s="14" t="s">
        <v>13</v>
      </c>
      <c r="AW43" s="16" t="s">
        <v>23</v>
      </c>
      <c r="AX43" t="s">
        <v>13</v>
      </c>
      <c r="AY43" t="s">
        <v>13</v>
      </c>
      <c r="AZ43" t="s">
        <v>13</v>
      </c>
      <c r="BA43" t="s">
        <v>13</v>
      </c>
      <c r="BB43" t="s">
        <v>13</v>
      </c>
      <c r="BC43" t="s">
        <v>13</v>
      </c>
      <c r="BD43" t="s">
        <v>13</v>
      </c>
      <c r="BE43"/>
      <c r="BF43" s="22" t="s">
        <v>13</v>
      </c>
      <c r="BG43" s="51" t="s">
        <v>69</v>
      </c>
      <c r="BH43" s="24" t="s">
        <v>900</v>
      </c>
      <c r="BI43" s="19" t="s">
        <v>901</v>
      </c>
      <c r="BJ43" s="19" t="s">
        <v>902</v>
      </c>
      <c r="BK43" s="19" t="s">
        <v>903</v>
      </c>
    </row>
    <row r="44" spans="1:63" ht="228.25">
      <c r="A44" t="s">
        <v>32</v>
      </c>
      <c r="B44" s="10" t="s">
        <v>33</v>
      </c>
      <c r="C44" t="s">
        <v>34</v>
      </c>
      <c r="D44">
        <v>2017</v>
      </c>
      <c r="E44" t="s">
        <v>35</v>
      </c>
      <c r="F44" s="10" t="s">
        <v>36</v>
      </c>
      <c r="G44" s="10" t="s">
        <v>37</v>
      </c>
      <c r="H44" s="50" t="s">
        <v>38</v>
      </c>
      <c r="I44" s="23" t="s">
        <v>43</v>
      </c>
      <c r="J44" t="s">
        <v>19</v>
      </c>
      <c r="K44" s="10" t="s">
        <v>1328</v>
      </c>
      <c r="L44" s="10" t="s">
        <v>1328</v>
      </c>
      <c r="M44" s="14" t="s">
        <v>20</v>
      </c>
      <c r="N44" t="s">
        <v>1288</v>
      </c>
      <c r="O44" s="52" t="s">
        <v>39</v>
      </c>
      <c r="P44" s="10" t="s">
        <v>7</v>
      </c>
      <c r="Q44" s="11" t="s">
        <v>40</v>
      </c>
      <c r="R44" s="10" t="s">
        <v>9</v>
      </c>
      <c r="S44">
        <v>2003</v>
      </c>
      <c r="T44" s="10">
        <v>5</v>
      </c>
      <c r="U44" s="10" t="s">
        <v>41</v>
      </c>
      <c r="V44" s="10" t="s">
        <v>11</v>
      </c>
      <c r="W44" t="s">
        <v>12</v>
      </c>
      <c r="Y44" s="13"/>
      <c r="Z44" t="s">
        <v>13</v>
      </c>
      <c r="AA44" s="15"/>
      <c r="AB44" t="s">
        <v>14</v>
      </c>
      <c r="AC44" s="22" t="s">
        <v>42</v>
      </c>
      <c r="AD44" s="10" t="s">
        <v>16</v>
      </c>
      <c r="AE44" s="10">
        <v>31</v>
      </c>
      <c r="AF44" s="22">
        <v>31</v>
      </c>
      <c r="AG44" t="s">
        <v>13</v>
      </c>
      <c r="AH44">
        <v>4111</v>
      </c>
      <c r="AI44" s="22">
        <v>4111</v>
      </c>
      <c r="AJ44" t="s">
        <v>13</v>
      </c>
      <c r="AK44" t="s">
        <v>13</v>
      </c>
      <c r="AL44" t="s">
        <v>21</v>
      </c>
      <c r="AM44" t="s">
        <v>13</v>
      </c>
      <c r="AN44" t="s">
        <v>13</v>
      </c>
      <c r="AO44" s="14" t="s">
        <v>44</v>
      </c>
      <c r="AP44" t="s">
        <v>45</v>
      </c>
      <c r="AQ44" s="16" t="s">
        <v>46</v>
      </c>
      <c r="AR44" s="14" t="s">
        <v>47</v>
      </c>
      <c r="AS44" s="17" t="s">
        <v>48</v>
      </c>
      <c r="AT44" s="17" t="s">
        <v>49</v>
      </c>
      <c r="AU44" t="s">
        <v>50</v>
      </c>
      <c r="AV44" s="51" t="s">
        <v>51</v>
      </c>
      <c r="AW44" s="16" t="s">
        <v>23</v>
      </c>
      <c r="AX44" t="s">
        <v>13</v>
      </c>
      <c r="AY44" t="s">
        <v>13</v>
      </c>
      <c r="AZ44" t="s">
        <v>13</v>
      </c>
      <c r="BA44" t="s">
        <v>13</v>
      </c>
      <c r="BB44" t="s">
        <v>13</v>
      </c>
      <c r="BC44" t="s">
        <v>13</v>
      </c>
      <c r="BD44" t="s">
        <v>13</v>
      </c>
      <c r="BE44"/>
      <c r="BF44" s="22" t="s">
        <v>13</v>
      </c>
      <c r="BG44" t="s">
        <v>27</v>
      </c>
      <c r="BH44" s="24"/>
      <c r="BI44" s="25" t="s">
        <v>52</v>
      </c>
      <c r="BJ44" s="25" t="s">
        <v>53</v>
      </c>
      <c r="BK44" s="25" t="s">
        <v>54</v>
      </c>
    </row>
    <row r="45" spans="1:63" ht="57.1">
      <c r="A45" t="s">
        <v>1369</v>
      </c>
      <c r="B45" s="10" t="s">
        <v>1373</v>
      </c>
      <c r="C45" t="s">
        <v>1374</v>
      </c>
      <c r="D45">
        <v>2023</v>
      </c>
      <c r="E45" t="s">
        <v>1378</v>
      </c>
      <c r="G45" s="10" t="s">
        <v>60</v>
      </c>
      <c r="H45" s="10" t="s">
        <v>1379</v>
      </c>
      <c r="J45" s="10" t="s">
        <v>19</v>
      </c>
      <c r="K45" s="10" t="s">
        <v>1380</v>
      </c>
      <c r="M45" s="20"/>
      <c r="N45" s="52" t="s">
        <v>1289</v>
      </c>
      <c r="O45" s="52"/>
      <c r="Q45" s="11"/>
      <c r="R45" s="10" t="s">
        <v>9</v>
      </c>
      <c r="W45" t="s">
        <v>216</v>
      </c>
      <c r="X45" t="s">
        <v>1338</v>
      </c>
      <c r="Y45" s="22"/>
      <c r="Z45" t="s">
        <v>164</v>
      </c>
      <c r="AA45" s="15"/>
      <c r="AB45" t="s">
        <v>165</v>
      </c>
      <c r="AC45" s="22" t="s">
        <v>1382</v>
      </c>
      <c r="AD45" t="s">
        <v>16</v>
      </c>
      <c r="AF45" s="22"/>
      <c r="AH45" t="s">
        <v>13</v>
      </c>
      <c r="AL45" t="s">
        <v>116</v>
      </c>
      <c r="AM45" t="s">
        <v>117</v>
      </c>
      <c r="AN45" t="s">
        <v>13</v>
      </c>
      <c r="AO45" s="14" t="s">
        <v>13</v>
      </c>
      <c r="AP45" s="51"/>
      <c r="AQ45" s="16"/>
      <c r="AR45" s="20"/>
      <c r="AS45" s="17"/>
      <c r="AT45" s="17" t="s">
        <v>554</v>
      </c>
      <c r="AU45" s="51"/>
      <c r="AV45" s="14"/>
      <c r="AW45" s="16"/>
      <c r="BG45" s="51" t="s">
        <v>1360</v>
      </c>
      <c r="BH45" s="24" t="s">
        <v>1383</v>
      </c>
      <c r="BI45" s="29"/>
      <c r="BJ45" s="29"/>
      <c r="BK45" s="29"/>
    </row>
    <row r="46" spans="1:63">
      <c r="A46" t="s">
        <v>1372</v>
      </c>
      <c r="J46" s="10" t="s">
        <v>19</v>
      </c>
      <c r="K46" s="10" t="s">
        <v>1377</v>
      </c>
      <c r="L46" s="10" t="s">
        <v>1377</v>
      </c>
      <c r="M46" s="20" t="s">
        <v>1170</v>
      </c>
      <c r="N46" s="11" t="s">
        <v>1289</v>
      </c>
      <c r="O46" s="21"/>
      <c r="P46" s="11" t="s">
        <v>1381</v>
      </c>
      <c r="Q46" s="11"/>
      <c r="R46" s="10" t="s">
        <v>9</v>
      </c>
      <c r="S46">
        <v>2017</v>
      </c>
      <c r="T46">
        <v>1</v>
      </c>
      <c r="V46" s="10" t="s">
        <v>11</v>
      </c>
      <c r="W46" t="s">
        <v>216</v>
      </c>
      <c r="X46" t="s">
        <v>1338</v>
      </c>
      <c r="Y46" s="22"/>
      <c r="Z46" t="s">
        <v>164</v>
      </c>
      <c r="AA46" s="15"/>
      <c r="AB46" t="s">
        <v>165</v>
      </c>
      <c r="AC46" s="22" t="s">
        <v>1382</v>
      </c>
      <c r="AD46" t="s">
        <v>16</v>
      </c>
      <c r="AE46" s="22">
        <v>264</v>
      </c>
      <c r="AF46" s="22"/>
      <c r="AG46" t="s">
        <v>13</v>
      </c>
      <c r="AH46" t="s">
        <v>13</v>
      </c>
      <c r="AJ46" t="s">
        <v>13</v>
      </c>
      <c r="AK46" t="s">
        <v>13</v>
      </c>
      <c r="AL46" t="s">
        <v>116</v>
      </c>
      <c r="AM46" t="s">
        <v>117</v>
      </c>
      <c r="AN46" t="s">
        <v>13</v>
      </c>
      <c r="AO46" s="14" t="s">
        <v>13</v>
      </c>
      <c r="AP46"/>
      <c r="AQ46" s="16"/>
      <c r="AR46" s="20"/>
      <c r="AS46" s="17"/>
      <c r="AT46" s="17" t="s">
        <v>554</v>
      </c>
      <c r="AU46"/>
      <c r="AV46" s="14"/>
      <c r="AW46" s="16" t="s">
        <v>23</v>
      </c>
      <c r="AX46" t="s">
        <v>13</v>
      </c>
      <c r="AY46" t="s">
        <v>13</v>
      </c>
      <c r="AZ46" t="s">
        <v>13</v>
      </c>
      <c r="BA46" t="s">
        <v>13</v>
      </c>
      <c r="BB46" t="s">
        <v>13</v>
      </c>
      <c r="BC46" t="s">
        <v>13</v>
      </c>
      <c r="BD46" t="s">
        <v>13</v>
      </c>
      <c r="BE46" t="s">
        <v>13</v>
      </c>
      <c r="BG46" t="s">
        <v>1360</v>
      </c>
      <c r="BH46" s="24"/>
      <c r="BI46" s="29"/>
      <c r="BJ46" s="29"/>
      <c r="BK46" s="29"/>
    </row>
    <row r="47" spans="1:63">
      <c r="A47" t="s">
        <v>1370</v>
      </c>
      <c r="J47" s="10" t="s">
        <v>19</v>
      </c>
      <c r="K47" s="10" t="s">
        <v>1375</v>
      </c>
      <c r="L47" s="10" t="s">
        <v>1375</v>
      </c>
      <c r="M47" s="20" t="s">
        <v>1170</v>
      </c>
      <c r="N47" s="11" t="s">
        <v>1289</v>
      </c>
      <c r="O47" s="52"/>
      <c r="P47" s="11" t="s">
        <v>1381</v>
      </c>
      <c r="Q47" s="11"/>
      <c r="R47" s="10" t="s">
        <v>9</v>
      </c>
      <c r="S47">
        <v>2017</v>
      </c>
      <c r="T47">
        <v>1</v>
      </c>
      <c r="V47" s="10" t="s">
        <v>11</v>
      </c>
      <c r="W47" t="s">
        <v>216</v>
      </c>
      <c r="X47" t="s">
        <v>1338</v>
      </c>
      <c r="Y47" s="22"/>
      <c r="Z47" t="s">
        <v>164</v>
      </c>
      <c r="AA47" s="15"/>
      <c r="AB47" t="s">
        <v>165</v>
      </c>
      <c r="AC47" s="22" t="s">
        <v>1382</v>
      </c>
      <c r="AD47" t="s">
        <v>16</v>
      </c>
      <c r="AE47" s="22">
        <v>514</v>
      </c>
      <c r="AF47" s="22"/>
      <c r="AG47" t="s">
        <v>13</v>
      </c>
      <c r="AH47" t="s">
        <v>13</v>
      </c>
      <c r="AJ47" t="s">
        <v>13</v>
      </c>
      <c r="AK47" t="s">
        <v>13</v>
      </c>
      <c r="AL47" t="s">
        <v>116</v>
      </c>
      <c r="AM47" t="s">
        <v>117</v>
      </c>
      <c r="AN47" t="s">
        <v>13</v>
      </c>
      <c r="AO47" s="14" t="s">
        <v>13</v>
      </c>
      <c r="AP47"/>
      <c r="AQ47" s="16"/>
      <c r="AR47" s="20"/>
      <c r="AS47" s="17"/>
      <c r="AT47" s="17" t="s">
        <v>554</v>
      </c>
      <c r="AU47"/>
      <c r="AV47" s="14"/>
      <c r="AW47" s="16" t="s">
        <v>23</v>
      </c>
      <c r="AX47" t="s">
        <v>13</v>
      </c>
      <c r="AY47" t="s">
        <v>13</v>
      </c>
      <c r="AZ47" t="s">
        <v>13</v>
      </c>
      <c r="BA47" t="s">
        <v>13</v>
      </c>
      <c r="BB47" t="s">
        <v>13</v>
      </c>
      <c r="BC47" t="s">
        <v>13</v>
      </c>
      <c r="BD47" t="s">
        <v>13</v>
      </c>
      <c r="BE47" t="s">
        <v>13</v>
      </c>
      <c r="BG47" t="s">
        <v>1360</v>
      </c>
      <c r="BH47" s="51"/>
      <c r="BI47" s="29"/>
      <c r="BJ47" s="29"/>
      <c r="BK47" s="29"/>
    </row>
    <row r="48" spans="1:63">
      <c r="A48" t="s">
        <v>1371</v>
      </c>
      <c r="J48" s="10" t="s">
        <v>19</v>
      </c>
      <c r="K48" s="10" t="s">
        <v>1376</v>
      </c>
      <c r="L48" s="10" t="s">
        <v>1376</v>
      </c>
      <c r="M48" s="20" t="s">
        <v>1170</v>
      </c>
      <c r="N48" s="11" t="s">
        <v>1289</v>
      </c>
      <c r="O48" s="21"/>
      <c r="P48" s="52" t="s">
        <v>1381</v>
      </c>
      <c r="Q48" s="11"/>
      <c r="R48" s="10" t="s">
        <v>9</v>
      </c>
      <c r="S48">
        <v>2017</v>
      </c>
      <c r="T48">
        <v>1</v>
      </c>
      <c r="V48" s="10" t="s">
        <v>11</v>
      </c>
      <c r="W48" t="s">
        <v>216</v>
      </c>
      <c r="X48" t="s">
        <v>1338</v>
      </c>
      <c r="Y48" s="22"/>
      <c r="Z48" t="s">
        <v>164</v>
      </c>
      <c r="AA48" s="15"/>
      <c r="AB48" t="s">
        <v>165</v>
      </c>
      <c r="AC48" s="22" t="s">
        <v>1382</v>
      </c>
      <c r="AD48" t="s">
        <v>16</v>
      </c>
      <c r="AE48" s="22">
        <v>459</v>
      </c>
      <c r="AF48" s="22"/>
      <c r="AG48" t="s">
        <v>13</v>
      </c>
      <c r="AH48" t="s">
        <v>13</v>
      </c>
      <c r="AJ48" t="s">
        <v>13</v>
      </c>
      <c r="AK48" t="s">
        <v>13</v>
      </c>
      <c r="AL48" t="s">
        <v>116</v>
      </c>
      <c r="AM48" t="s">
        <v>117</v>
      </c>
      <c r="AN48" t="s">
        <v>13</v>
      </c>
      <c r="AO48" s="14" t="s">
        <v>13</v>
      </c>
      <c r="AP48"/>
      <c r="AQ48" s="16"/>
      <c r="AR48" s="20"/>
      <c r="AS48" s="17"/>
      <c r="AT48" s="17" t="s">
        <v>554</v>
      </c>
      <c r="AU48"/>
      <c r="AV48" s="14"/>
      <c r="AW48" s="16" t="s">
        <v>23</v>
      </c>
      <c r="AX48" t="s">
        <v>13</v>
      </c>
      <c r="AY48" t="s">
        <v>13</v>
      </c>
      <c r="AZ48" t="s">
        <v>13</v>
      </c>
      <c r="BA48" t="s">
        <v>13</v>
      </c>
      <c r="BB48" t="s">
        <v>13</v>
      </c>
      <c r="BC48" t="s">
        <v>13</v>
      </c>
      <c r="BD48" t="s">
        <v>13</v>
      </c>
      <c r="BE48" t="s">
        <v>13</v>
      </c>
      <c r="BG48" s="51" t="s">
        <v>1360</v>
      </c>
      <c r="BH48" s="24"/>
      <c r="BI48" s="29"/>
      <c r="BJ48" s="29"/>
      <c r="BK48" s="29"/>
    </row>
    <row r="49" spans="1:63" ht="42.8">
      <c r="A49" t="s">
        <v>904</v>
      </c>
      <c r="B49" s="10" t="s">
        <v>905</v>
      </c>
      <c r="C49" t="s">
        <v>906</v>
      </c>
      <c r="D49">
        <v>2011</v>
      </c>
      <c r="E49" t="s">
        <v>907</v>
      </c>
      <c r="F49" s="10" t="s">
        <v>59</v>
      </c>
      <c r="G49" s="10" t="s">
        <v>60</v>
      </c>
      <c r="H49" s="20" t="s">
        <v>908</v>
      </c>
      <c r="I49" s="23" t="s">
        <v>861</v>
      </c>
      <c r="J49" t="s">
        <v>19</v>
      </c>
      <c r="K49" s="10" t="s">
        <v>1324</v>
      </c>
      <c r="L49" s="10" t="s">
        <v>1324</v>
      </c>
      <c r="M49" s="14" t="s">
        <v>168</v>
      </c>
      <c r="N49" t="s">
        <v>1289</v>
      </c>
      <c r="O49" s="21" t="s">
        <v>909</v>
      </c>
      <c r="P49" s="50" t="s">
        <v>884</v>
      </c>
      <c r="Q49" s="11" t="s">
        <v>536</v>
      </c>
      <c r="R49" s="10" t="s">
        <v>9</v>
      </c>
      <c r="S49">
        <v>2005</v>
      </c>
      <c r="T49">
        <v>1</v>
      </c>
      <c r="U49" t="s">
        <v>910</v>
      </c>
      <c r="V49" t="s">
        <v>343</v>
      </c>
      <c r="W49" t="s">
        <v>216</v>
      </c>
      <c r="X49" t="s">
        <v>1332</v>
      </c>
      <c r="Y49" s="22" t="s">
        <v>911</v>
      </c>
      <c r="Z49" t="s">
        <v>1304</v>
      </c>
      <c r="AA49" s="15"/>
      <c r="AB49" t="s">
        <v>14</v>
      </c>
      <c r="AC49" s="22" t="s">
        <v>912</v>
      </c>
      <c r="AD49" s="10" t="s">
        <v>16</v>
      </c>
      <c r="AE49" s="10">
        <v>32</v>
      </c>
      <c r="AF49" s="22">
        <v>32</v>
      </c>
      <c r="AG49" t="s">
        <v>13</v>
      </c>
      <c r="AH49" t="s">
        <v>13</v>
      </c>
      <c r="AI49" s="22" t="s">
        <v>13</v>
      </c>
      <c r="AK49" t="s">
        <v>13</v>
      </c>
      <c r="AL49" t="s">
        <v>116</v>
      </c>
      <c r="AM49" t="s">
        <v>117</v>
      </c>
      <c r="AN49" t="s">
        <v>13</v>
      </c>
      <c r="AO49" s="14" t="s">
        <v>13</v>
      </c>
      <c r="AP49"/>
      <c r="AQ49" s="16" t="s">
        <v>23</v>
      </c>
      <c r="AR49" s="14" t="s">
        <v>13</v>
      </c>
      <c r="AS49" s="17" t="s">
        <v>913</v>
      </c>
      <c r="AT49" s="17" t="s">
        <v>914</v>
      </c>
      <c r="AU49" t="s">
        <v>915</v>
      </c>
      <c r="AV49" s="14"/>
      <c r="AW49" s="16" t="s">
        <v>23</v>
      </c>
      <c r="AX49" t="s">
        <v>13</v>
      </c>
      <c r="AY49" t="s">
        <v>13</v>
      </c>
      <c r="AZ49" t="s">
        <v>13</v>
      </c>
      <c r="BA49" t="s">
        <v>13</v>
      </c>
      <c r="BB49" t="s">
        <v>13</v>
      </c>
      <c r="BC49" t="s">
        <v>13</v>
      </c>
      <c r="BD49" t="s">
        <v>13</v>
      </c>
      <c r="BE49"/>
      <c r="BF49" s="22" t="s">
        <v>13</v>
      </c>
      <c r="BG49" s="51" t="s">
        <v>69</v>
      </c>
      <c r="BH49" s="24"/>
      <c r="BI49" s="19" t="s">
        <v>916</v>
      </c>
      <c r="BJ49" s="19" t="s">
        <v>917</v>
      </c>
      <c r="BK49" s="19" t="s">
        <v>918</v>
      </c>
    </row>
    <row r="50" spans="1:63" ht="116.15">
      <c r="A50" t="s">
        <v>919</v>
      </c>
      <c r="B50" s="10" t="s">
        <v>920</v>
      </c>
      <c r="C50" t="s">
        <v>921</v>
      </c>
      <c r="D50">
        <v>2011</v>
      </c>
      <c r="E50" t="s">
        <v>272</v>
      </c>
      <c r="F50" s="10" t="s">
        <v>273</v>
      </c>
      <c r="G50" s="10" t="s">
        <v>60</v>
      </c>
      <c r="H50" s="20" t="s">
        <v>922</v>
      </c>
      <c r="I50" s="23" t="s">
        <v>861</v>
      </c>
      <c r="J50" t="s">
        <v>19</v>
      </c>
      <c r="K50" s="10" t="s">
        <v>1324</v>
      </c>
      <c r="L50" s="10" t="s">
        <v>1324</v>
      </c>
      <c r="M50" s="14" t="s">
        <v>168</v>
      </c>
      <c r="N50" t="s">
        <v>1289</v>
      </c>
      <c r="O50" s="54" t="s">
        <v>884</v>
      </c>
      <c r="P50" s="50" t="s">
        <v>884</v>
      </c>
      <c r="Q50" s="11" t="s">
        <v>923</v>
      </c>
      <c r="R50" s="10" t="s">
        <v>9</v>
      </c>
      <c r="S50">
        <v>2006</v>
      </c>
      <c r="T50" s="10">
        <v>1</v>
      </c>
      <c r="U50" s="10" t="s">
        <v>342</v>
      </c>
      <c r="V50" t="s">
        <v>343</v>
      </c>
      <c r="W50" t="s">
        <v>216</v>
      </c>
      <c r="X50" t="s">
        <v>1334</v>
      </c>
      <c r="Y50" t="s">
        <v>1335</v>
      </c>
      <c r="Z50" t="s">
        <v>1304</v>
      </c>
      <c r="AA50" s="15"/>
      <c r="AB50" t="s">
        <v>14</v>
      </c>
      <c r="AC50" s="22" t="s">
        <v>924</v>
      </c>
      <c r="AD50" s="10" t="s">
        <v>16</v>
      </c>
      <c r="AE50" s="10">
        <v>29</v>
      </c>
      <c r="AF50" s="22">
        <v>29</v>
      </c>
      <c r="AG50" t="s">
        <v>13</v>
      </c>
      <c r="AH50" t="s">
        <v>13</v>
      </c>
      <c r="AI50" s="22" t="s">
        <v>13</v>
      </c>
      <c r="AJ50" t="s">
        <v>13</v>
      </c>
      <c r="AK50" t="s">
        <v>13</v>
      </c>
      <c r="AL50" t="s">
        <v>116</v>
      </c>
      <c r="AM50" t="s">
        <v>117</v>
      </c>
      <c r="AN50" t="s">
        <v>13</v>
      </c>
      <c r="AO50" s="14" t="s">
        <v>13</v>
      </c>
      <c r="AP50"/>
      <c r="AQ50" s="16" t="s">
        <v>23</v>
      </c>
      <c r="AR50" s="14" t="s">
        <v>13</v>
      </c>
      <c r="AS50" s="17" t="s">
        <v>925</v>
      </c>
      <c r="AT50" s="17" t="s">
        <v>926</v>
      </c>
      <c r="AU50" t="s">
        <v>13</v>
      </c>
      <c r="AV50" s="14" t="s">
        <v>927</v>
      </c>
      <c r="AW50" s="16" t="s">
        <v>46</v>
      </c>
      <c r="AX50" t="s">
        <v>262</v>
      </c>
      <c r="AY50" t="s">
        <v>263</v>
      </c>
      <c r="AZ50" t="s">
        <v>202</v>
      </c>
      <c r="BA50" t="s">
        <v>23</v>
      </c>
      <c r="BB50" t="s">
        <v>13</v>
      </c>
      <c r="BC50" t="s">
        <v>13</v>
      </c>
      <c r="BD50" t="s">
        <v>46</v>
      </c>
      <c r="BE50"/>
      <c r="BF50" s="22" t="s">
        <v>928</v>
      </c>
      <c r="BG50" s="51" t="s">
        <v>69</v>
      </c>
      <c r="BH50" s="24" t="s">
        <v>929</v>
      </c>
      <c r="BI50" s="47" t="s">
        <v>930</v>
      </c>
      <c r="BJ50" s="47" t="s">
        <v>931</v>
      </c>
      <c r="BK50" s="47" t="s">
        <v>932</v>
      </c>
    </row>
    <row r="51" spans="1:63" ht="85.6">
      <c r="A51" t="s">
        <v>933</v>
      </c>
      <c r="B51" s="10" t="s">
        <v>934</v>
      </c>
      <c r="C51" t="s">
        <v>935</v>
      </c>
      <c r="D51">
        <v>2011</v>
      </c>
      <c r="E51" t="s">
        <v>226</v>
      </c>
      <c r="F51" s="10" t="s">
        <v>212</v>
      </c>
      <c r="G51" s="10" t="s">
        <v>212</v>
      </c>
      <c r="H51" s="20" t="s">
        <v>936</v>
      </c>
      <c r="I51" s="23" t="s">
        <v>861</v>
      </c>
      <c r="J51" t="s">
        <v>19</v>
      </c>
      <c r="K51" s="10" t="s">
        <v>1324</v>
      </c>
      <c r="L51" s="10" t="s">
        <v>1324</v>
      </c>
      <c r="M51" s="14" t="s">
        <v>168</v>
      </c>
      <c r="N51" t="s">
        <v>1289</v>
      </c>
      <c r="O51" s="21" t="s">
        <v>874</v>
      </c>
      <c r="P51" s="10" t="s">
        <v>857</v>
      </c>
      <c r="Q51" s="11" t="s">
        <v>536</v>
      </c>
      <c r="R51" s="10" t="s">
        <v>858</v>
      </c>
      <c r="S51">
        <v>2007</v>
      </c>
      <c r="T51">
        <v>1</v>
      </c>
      <c r="U51" s="10" t="s">
        <v>342</v>
      </c>
      <c r="V51" t="s">
        <v>343</v>
      </c>
      <c r="W51" t="s">
        <v>12</v>
      </c>
      <c r="Y51" s="22"/>
      <c r="Z51" t="s">
        <v>13</v>
      </c>
      <c r="AA51" s="15"/>
      <c r="AB51" t="s">
        <v>165</v>
      </c>
      <c r="AC51" s="22" t="s">
        <v>937</v>
      </c>
      <c r="AD51" t="s">
        <v>16</v>
      </c>
      <c r="AE51">
        <v>32</v>
      </c>
      <c r="AF51" s="22">
        <v>32</v>
      </c>
      <c r="AG51" t="s">
        <v>13</v>
      </c>
      <c r="AH51">
        <v>2379</v>
      </c>
      <c r="AI51" s="22">
        <v>2379</v>
      </c>
      <c r="AK51" t="s">
        <v>13</v>
      </c>
      <c r="AL51" t="s">
        <v>116</v>
      </c>
      <c r="AM51" t="s">
        <v>117</v>
      </c>
      <c r="AN51" t="s">
        <v>13</v>
      </c>
      <c r="AO51" s="14" t="s">
        <v>13</v>
      </c>
      <c r="AP51"/>
      <c r="AQ51" s="16" t="s">
        <v>23</v>
      </c>
      <c r="AR51" s="14" t="s">
        <v>13</v>
      </c>
      <c r="AS51" s="17" t="s">
        <v>938</v>
      </c>
      <c r="AT51" s="17" t="s">
        <v>939</v>
      </c>
      <c r="AU51"/>
      <c r="AV51" s="14"/>
      <c r="AW51" s="16" t="s">
        <v>23</v>
      </c>
      <c r="AX51" t="s">
        <v>13</v>
      </c>
      <c r="AY51" t="s">
        <v>13</v>
      </c>
      <c r="AZ51" t="s">
        <v>13</v>
      </c>
      <c r="BA51" t="s">
        <v>13</v>
      </c>
      <c r="BB51" t="s">
        <v>13</v>
      </c>
      <c r="BC51" t="s">
        <v>13</v>
      </c>
      <c r="BD51" t="s">
        <v>13</v>
      </c>
      <c r="BE51"/>
      <c r="BF51" s="22" t="s">
        <v>13</v>
      </c>
      <c r="BG51" s="51" t="s">
        <v>69</v>
      </c>
      <c r="BH51" s="24"/>
      <c r="BI51" s="19" t="s">
        <v>940</v>
      </c>
      <c r="BJ51" s="19" t="s">
        <v>941</v>
      </c>
      <c r="BK51" s="19">
        <v>0</v>
      </c>
    </row>
    <row r="52" spans="1:63" ht="114.15">
      <c r="A52" t="s">
        <v>942</v>
      </c>
      <c r="B52" s="10" t="s">
        <v>943</v>
      </c>
      <c r="C52" t="s">
        <v>944</v>
      </c>
      <c r="D52">
        <v>2012</v>
      </c>
      <c r="E52" t="s">
        <v>945</v>
      </c>
      <c r="F52" s="10" t="s">
        <v>77</v>
      </c>
      <c r="G52" s="10" t="s">
        <v>4</v>
      </c>
      <c r="H52" s="20" t="s">
        <v>946</v>
      </c>
      <c r="I52" s="23" t="s">
        <v>861</v>
      </c>
      <c r="J52" t="s">
        <v>19</v>
      </c>
      <c r="K52" s="10" t="s">
        <v>1324</v>
      </c>
      <c r="L52" s="10" t="s">
        <v>1324</v>
      </c>
      <c r="M52" s="14" t="s">
        <v>168</v>
      </c>
      <c r="N52" t="s">
        <v>1289</v>
      </c>
      <c r="O52" s="40" t="s">
        <v>947</v>
      </c>
      <c r="P52" s="10" t="s">
        <v>884</v>
      </c>
      <c r="Q52" s="11" t="s">
        <v>923</v>
      </c>
      <c r="R52" s="10" t="s">
        <v>9</v>
      </c>
      <c r="S52">
        <v>2006</v>
      </c>
      <c r="T52">
        <v>1</v>
      </c>
      <c r="U52" s="10" t="s">
        <v>342</v>
      </c>
      <c r="V52" t="s">
        <v>343</v>
      </c>
      <c r="W52" t="s">
        <v>216</v>
      </c>
      <c r="X52" t="s">
        <v>1334</v>
      </c>
      <c r="Y52" t="s">
        <v>1335</v>
      </c>
      <c r="Z52" t="s">
        <v>1304</v>
      </c>
      <c r="AA52" s="15"/>
      <c r="AB52" t="s">
        <v>14</v>
      </c>
      <c r="AC52" s="22" t="s">
        <v>886</v>
      </c>
      <c r="AD52" s="10" t="s">
        <v>16</v>
      </c>
      <c r="AE52" s="10">
        <v>29</v>
      </c>
      <c r="AF52" s="22" t="s">
        <v>948</v>
      </c>
      <c r="AG52" t="s">
        <v>13</v>
      </c>
      <c r="AH52" t="s">
        <v>13</v>
      </c>
      <c r="AI52" s="22" t="s">
        <v>13</v>
      </c>
      <c r="AJ52" t="s">
        <v>13</v>
      </c>
      <c r="AK52" t="s">
        <v>13</v>
      </c>
      <c r="AL52" t="s">
        <v>116</v>
      </c>
      <c r="AM52" t="s">
        <v>117</v>
      </c>
      <c r="AN52" t="s">
        <v>13</v>
      </c>
      <c r="AO52" s="14" t="s">
        <v>13</v>
      </c>
      <c r="AP52" s="41" t="s">
        <v>949</v>
      </c>
      <c r="AQ52" s="16" t="s">
        <v>23</v>
      </c>
      <c r="AR52" s="14" t="s">
        <v>13</v>
      </c>
      <c r="AS52" s="17" t="s">
        <v>13</v>
      </c>
      <c r="AT52" s="17" t="s">
        <v>13</v>
      </c>
      <c r="AU52" t="s">
        <v>13</v>
      </c>
      <c r="AV52" s="14" t="s">
        <v>950</v>
      </c>
      <c r="AW52" s="16" t="s">
        <v>46</v>
      </c>
      <c r="AX52" t="s">
        <v>262</v>
      </c>
      <c r="AY52" t="s">
        <v>263</v>
      </c>
      <c r="AZ52" t="s">
        <v>202</v>
      </c>
      <c r="BA52" t="s">
        <v>46</v>
      </c>
      <c r="BB52" s="10" t="s">
        <v>951</v>
      </c>
      <c r="BC52" s="10" t="s">
        <v>952</v>
      </c>
      <c r="BD52" t="s">
        <v>46</v>
      </c>
      <c r="BE52"/>
      <c r="BF52" s="22" t="s">
        <v>953</v>
      </c>
      <c r="BG52" s="51" t="s">
        <v>954</v>
      </c>
      <c r="BH52" s="24" t="s">
        <v>955</v>
      </c>
      <c r="BI52" s="10" t="s">
        <v>1411</v>
      </c>
      <c r="BJ52" s="10" t="s">
        <v>1412</v>
      </c>
      <c r="BK52" s="10" t="s">
        <v>1413</v>
      </c>
    </row>
    <row r="53" spans="1:63" ht="90.35">
      <c r="A53" t="s">
        <v>956</v>
      </c>
      <c r="B53" s="10" t="s">
        <v>957</v>
      </c>
      <c r="C53" t="s">
        <v>958</v>
      </c>
      <c r="D53">
        <v>2013</v>
      </c>
      <c r="E53" t="s">
        <v>58</v>
      </c>
      <c r="F53" s="10" t="s">
        <v>59</v>
      </c>
      <c r="G53" s="10" t="s">
        <v>60</v>
      </c>
      <c r="H53" s="20" t="s">
        <v>959</v>
      </c>
      <c r="I53" s="23" t="s">
        <v>861</v>
      </c>
      <c r="J53" t="s">
        <v>19</v>
      </c>
      <c r="K53" s="10" t="s">
        <v>1324</v>
      </c>
      <c r="L53" s="10" t="s">
        <v>1324</v>
      </c>
      <c r="M53" s="14" t="s">
        <v>168</v>
      </c>
      <c r="N53" t="s">
        <v>1289</v>
      </c>
      <c r="O53" s="40" t="s">
        <v>960</v>
      </c>
      <c r="P53" s="10" t="s">
        <v>857</v>
      </c>
      <c r="Q53" s="11" t="s">
        <v>961</v>
      </c>
      <c r="R53" s="10" t="s">
        <v>858</v>
      </c>
      <c r="S53">
        <v>2007</v>
      </c>
      <c r="T53">
        <v>1</v>
      </c>
      <c r="U53" s="10" t="s">
        <v>342</v>
      </c>
      <c r="V53" t="s">
        <v>343</v>
      </c>
      <c r="W53" t="s">
        <v>216</v>
      </c>
      <c r="X53" t="s">
        <v>1334</v>
      </c>
      <c r="Y53" t="s">
        <v>1335</v>
      </c>
      <c r="Z53" t="s">
        <v>1304</v>
      </c>
      <c r="AA53" s="15" t="s">
        <v>962</v>
      </c>
      <c r="AB53" t="s">
        <v>165</v>
      </c>
      <c r="AC53" s="22" t="s">
        <v>963</v>
      </c>
      <c r="AD53" s="10" t="s">
        <v>16</v>
      </c>
      <c r="AE53" s="10">
        <v>100</v>
      </c>
      <c r="AF53" s="22" t="s">
        <v>964</v>
      </c>
      <c r="AG53" t="s">
        <v>13</v>
      </c>
      <c r="AH53" t="s">
        <v>13</v>
      </c>
      <c r="AI53" s="22" t="s">
        <v>13</v>
      </c>
      <c r="AJ53" t="s">
        <v>965</v>
      </c>
      <c r="AK53" t="s">
        <v>13</v>
      </c>
      <c r="AL53" t="s">
        <v>116</v>
      </c>
      <c r="AM53" t="s">
        <v>117</v>
      </c>
      <c r="AN53" t="s">
        <v>13</v>
      </c>
      <c r="AO53" s="14" t="s">
        <v>13</v>
      </c>
      <c r="AP53"/>
      <c r="AQ53" s="16" t="s">
        <v>23</v>
      </c>
      <c r="AR53" s="14" t="s">
        <v>13</v>
      </c>
      <c r="AS53" s="17" t="s">
        <v>13</v>
      </c>
      <c r="AT53" s="17" t="s">
        <v>13</v>
      </c>
      <c r="AU53" t="s">
        <v>13</v>
      </c>
      <c r="AV53" s="14" t="s">
        <v>13</v>
      </c>
      <c r="AW53" s="16" t="s">
        <v>46</v>
      </c>
      <c r="AX53" t="s">
        <v>262</v>
      </c>
      <c r="AY53" t="s">
        <v>263</v>
      </c>
      <c r="AZ53" t="s">
        <v>202</v>
      </c>
      <c r="BA53" t="s">
        <v>23</v>
      </c>
      <c r="BB53" t="s">
        <v>13</v>
      </c>
      <c r="BC53" t="s">
        <v>13</v>
      </c>
      <c r="BD53" t="s">
        <v>46</v>
      </c>
      <c r="BE53"/>
      <c r="BF53" s="22" t="s">
        <v>928</v>
      </c>
      <c r="BG53" s="51" t="s">
        <v>69</v>
      </c>
      <c r="BH53" s="24" t="s">
        <v>966</v>
      </c>
      <c r="BI53" s="47" t="s">
        <v>967</v>
      </c>
      <c r="BJ53" s="47" t="s">
        <v>968</v>
      </c>
      <c r="BK53" s="47" t="s">
        <v>969</v>
      </c>
    </row>
    <row r="54" spans="1:63" ht="156.9">
      <c r="A54" t="s">
        <v>970</v>
      </c>
      <c r="B54" s="10" t="s">
        <v>971</v>
      </c>
      <c r="C54" t="s">
        <v>972</v>
      </c>
      <c r="D54">
        <v>2013</v>
      </c>
      <c r="E54" t="s">
        <v>973</v>
      </c>
      <c r="F54" s="10" t="s">
        <v>317</v>
      </c>
      <c r="G54" s="10" t="s">
        <v>129</v>
      </c>
      <c r="H54" s="20" t="s">
        <v>974</v>
      </c>
      <c r="I54" s="23" t="s">
        <v>861</v>
      </c>
      <c r="J54" t="s">
        <v>19</v>
      </c>
      <c r="K54" s="10" t="s">
        <v>1324</v>
      </c>
      <c r="L54" s="10" t="s">
        <v>1324</v>
      </c>
      <c r="M54" s="14" t="s">
        <v>168</v>
      </c>
      <c r="N54" t="s">
        <v>1289</v>
      </c>
      <c r="O54" s="21" t="s">
        <v>975</v>
      </c>
      <c r="P54" s="10" t="s">
        <v>884</v>
      </c>
      <c r="Q54" s="11" t="s">
        <v>976</v>
      </c>
      <c r="R54" s="10" t="s">
        <v>9</v>
      </c>
      <c r="S54">
        <v>2006</v>
      </c>
      <c r="T54">
        <v>1</v>
      </c>
      <c r="U54" s="10" t="s">
        <v>342</v>
      </c>
      <c r="V54" t="s">
        <v>343</v>
      </c>
      <c r="W54" t="s">
        <v>216</v>
      </c>
      <c r="X54" t="s">
        <v>1334</v>
      </c>
      <c r="Y54" t="s">
        <v>1335</v>
      </c>
      <c r="Z54" t="s">
        <v>1304</v>
      </c>
      <c r="AA54" s="15"/>
      <c r="AB54" t="s">
        <v>14</v>
      </c>
      <c r="AC54" s="22" t="s">
        <v>977</v>
      </c>
      <c r="AD54" s="10" t="s">
        <v>16</v>
      </c>
      <c r="AE54" s="10">
        <v>29</v>
      </c>
      <c r="AF54" s="22" t="s">
        <v>948</v>
      </c>
      <c r="AG54" t="s">
        <v>13</v>
      </c>
      <c r="AH54" t="s">
        <v>13</v>
      </c>
      <c r="AI54" s="22" t="s">
        <v>13</v>
      </c>
      <c r="AJ54" t="s">
        <v>978</v>
      </c>
      <c r="AK54" t="s">
        <v>13</v>
      </c>
      <c r="AL54" t="s">
        <v>116</v>
      </c>
      <c r="AM54" t="s">
        <v>117</v>
      </c>
      <c r="AN54" t="s">
        <v>13</v>
      </c>
      <c r="AO54" s="14" t="s">
        <v>13</v>
      </c>
      <c r="AP54"/>
      <c r="AQ54" s="16" t="s">
        <v>23</v>
      </c>
      <c r="AR54" s="14" t="s">
        <v>13</v>
      </c>
      <c r="AS54" s="17" t="s">
        <v>13</v>
      </c>
      <c r="AT54" s="17" t="s">
        <v>13</v>
      </c>
      <c r="AU54" t="s">
        <v>13</v>
      </c>
      <c r="AV54" s="51" t="s">
        <v>979</v>
      </c>
      <c r="AW54" s="16" t="s">
        <v>46</v>
      </c>
      <c r="AX54" t="s">
        <v>262</v>
      </c>
      <c r="AY54" t="s">
        <v>263</v>
      </c>
      <c r="AZ54" t="s">
        <v>202</v>
      </c>
      <c r="BA54" t="s">
        <v>46</v>
      </c>
      <c r="BB54" s="10" t="s">
        <v>980</v>
      </c>
      <c r="BC54" s="10" t="s">
        <v>981</v>
      </c>
      <c r="BD54" t="s">
        <v>46</v>
      </c>
      <c r="BE54"/>
      <c r="BF54" s="22" t="s">
        <v>982</v>
      </c>
      <c r="BG54" s="51" t="s">
        <v>69</v>
      </c>
      <c r="BH54" s="24" t="s">
        <v>983</v>
      </c>
      <c r="BI54" s="47" t="s">
        <v>984</v>
      </c>
      <c r="BJ54" s="10" t="s">
        <v>1414</v>
      </c>
      <c r="BK54" s="10" t="s">
        <v>1415</v>
      </c>
    </row>
    <row r="55" spans="1:63" ht="129.1">
      <c r="A55" t="s">
        <v>985</v>
      </c>
      <c r="B55" s="10" t="s">
        <v>986</v>
      </c>
      <c r="C55" t="s">
        <v>987</v>
      </c>
      <c r="D55">
        <v>2013</v>
      </c>
      <c r="E55" t="s">
        <v>817</v>
      </c>
      <c r="F55" s="10" t="s">
        <v>818</v>
      </c>
      <c r="G55" s="10" t="s">
        <v>60</v>
      </c>
      <c r="H55" s="20" t="s">
        <v>988</v>
      </c>
      <c r="I55" s="23" t="s">
        <v>861</v>
      </c>
      <c r="J55" t="s">
        <v>19</v>
      </c>
      <c r="K55" s="10" t="s">
        <v>1324</v>
      </c>
      <c r="L55" s="10" t="s">
        <v>1324</v>
      </c>
      <c r="M55" s="14" t="s">
        <v>168</v>
      </c>
      <c r="N55" t="s">
        <v>1289</v>
      </c>
      <c r="O55" s="21" t="s">
        <v>874</v>
      </c>
      <c r="P55" s="10" t="s">
        <v>857</v>
      </c>
      <c r="Q55" s="11" t="s">
        <v>536</v>
      </c>
      <c r="R55" s="10" t="s">
        <v>858</v>
      </c>
      <c r="S55">
        <v>2006</v>
      </c>
      <c r="T55">
        <v>2</v>
      </c>
      <c r="U55" t="s">
        <v>989</v>
      </c>
      <c r="V55" t="s">
        <v>990</v>
      </c>
      <c r="W55" t="s">
        <v>216</v>
      </c>
      <c r="X55" t="s">
        <v>1334</v>
      </c>
      <c r="Y55" t="s">
        <v>1335</v>
      </c>
      <c r="Z55" t="s">
        <v>164</v>
      </c>
      <c r="AA55" s="15"/>
      <c r="AB55" t="s">
        <v>14</v>
      </c>
      <c r="AC55" s="22" t="s">
        <v>991</v>
      </c>
      <c r="AD55" s="10" t="s">
        <v>16</v>
      </c>
      <c r="AE55" s="10">
        <v>29</v>
      </c>
      <c r="AF55" s="22" t="s">
        <v>992</v>
      </c>
      <c r="AG55" t="s">
        <v>13</v>
      </c>
      <c r="AH55" t="s">
        <v>13</v>
      </c>
      <c r="AI55" s="22" t="s">
        <v>13</v>
      </c>
      <c r="AK55" t="s">
        <v>13</v>
      </c>
      <c r="AL55" t="s">
        <v>116</v>
      </c>
      <c r="AM55" t="s">
        <v>117</v>
      </c>
      <c r="AN55" t="s">
        <v>13</v>
      </c>
      <c r="AO55" s="14" t="s">
        <v>13</v>
      </c>
      <c r="AP55"/>
      <c r="AQ55" s="16" t="s">
        <v>23</v>
      </c>
      <c r="AR55" s="14" t="s">
        <v>13</v>
      </c>
      <c r="AS55" s="17" t="s">
        <v>13</v>
      </c>
      <c r="AT55" s="17" t="s">
        <v>13</v>
      </c>
      <c r="AU55"/>
      <c r="AV55" s="51"/>
      <c r="AW55" s="16" t="s">
        <v>46</v>
      </c>
      <c r="AX55" t="s">
        <v>262</v>
      </c>
      <c r="AY55" t="s">
        <v>993</v>
      </c>
      <c r="AZ55" t="s">
        <v>994</v>
      </c>
      <c r="BA55" t="s">
        <v>23</v>
      </c>
      <c r="BB55" t="s">
        <v>13</v>
      </c>
      <c r="BC55" t="s">
        <v>13</v>
      </c>
      <c r="BD55" t="s">
        <v>23</v>
      </c>
      <c r="BE55"/>
      <c r="BF55" s="22" t="s">
        <v>995</v>
      </c>
      <c r="BG55" s="51" t="s">
        <v>69</v>
      </c>
      <c r="BH55" s="24"/>
      <c r="BI55" s="47" t="s">
        <v>996</v>
      </c>
      <c r="BJ55" s="47" t="s">
        <v>997</v>
      </c>
      <c r="BK55" s="10" t="s">
        <v>998</v>
      </c>
    </row>
    <row r="56" spans="1:63" ht="185.45">
      <c r="A56" t="s">
        <v>999</v>
      </c>
      <c r="B56" s="10" t="s">
        <v>1000</v>
      </c>
      <c r="C56" t="s">
        <v>1001</v>
      </c>
      <c r="D56">
        <v>2013</v>
      </c>
      <c r="E56" t="s">
        <v>272</v>
      </c>
      <c r="F56" s="10" t="s">
        <v>273</v>
      </c>
      <c r="G56" s="10" t="s">
        <v>60</v>
      </c>
      <c r="H56" s="20" t="s">
        <v>1002</v>
      </c>
      <c r="I56" s="23" t="s">
        <v>861</v>
      </c>
      <c r="J56" t="s">
        <v>19</v>
      </c>
      <c r="K56" s="10" t="s">
        <v>1324</v>
      </c>
      <c r="L56" s="10" t="s">
        <v>1324</v>
      </c>
      <c r="M56" s="14" t="s">
        <v>168</v>
      </c>
      <c r="N56" t="s">
        <v>1289</v>
      </c>
      <c r="O56" s="21" t="s">
        <v>1003</v>
      </c>
      <c r="P56" s="10" t="s">
        <v>857</v>
      </c>
      <c r="Q56" s="11" t="s">
        <v>961</v>
      </c>
      <c r="R56" s="10" t="s">
        <v>858</v>
      </c>
      <c r="S56" t="s">
        <v>1004</v>
      </c>
      <c r="T56">
        <v>1</v>
      </c>
      <c r="U56" s="10" t="s">
        <v>342</v>
      </c>
      <c r="V56" t="s">
        <v>343</v>
      </c>
      <c r="W56" t="s">
        <v>216</v>
      </c>
      <c r="X56" t="s">
        <v>1334</v>
      </c>
      <c r="Y56" t="s">
        <v>1335</v>
      </c>
      <c r="Z56" t="s">
        <v>1304</v>
      </c>
      <c r="AA56" s="15"/>
      <c r="AB56" t="s">
        <v>165</v>
      </c>
      <c r="AC56" s="22" t="s">
        <v>1005</v>
      </c>
      <c r="AD56" s="10" t="s">
        <v>16</v>
      </c>
      <c r="AE56" s="10">
        <v>100</v>
      </c>
      <c r="AF56" s="22" t="s">
        <v>1006</v>
      </c>
      <c r="AG56" t="s">
        <v>13</v>
      </c>
      <c r="AH56" t="s">
        <v>13</v>
      </c>
      <c r="AI56" s="22" t="s">
        <v>13</v>
      </c>
      <c r="AJ56" t="s">
        <v>13</v>
      </c>
      <c r="AK56" t="s">
        <v>13</v>
      </c>
      <c r="AL56" t="s">
        <v>116</v>
      </c>
      <c r="AM56" t="s">
        <v>117</v>
      </c>
      <c r="AN56" t="s">
        <v>13</v>
      </c>
      <c r="AO56" s="14" t="s">
        <v>13</v>
      </c>
      <c r="AP56"/>
      <c r="AQ56" s="16" t="s">
        <v>23</v>
      </c>
      <c r="AR56" s="14" t="s">
        <v>13</v>
      </c>
      <c r="AS56" s="17" t="s">
        <v>13</v>
      </c>
      <c r="AT56" s="17" t="s">
        <v>13</v>
      </c>
      <c r="AU56" t="s">
        <v>13</v>
      </c>
      <c r="AV56" s="51" t="s">
        <v>13</v>
      </c>
      <c r="AW56" s="16" t="s">
        <v>46</v>
      </c>
      <c r="AX56" t="s">
        <v>262</v>
      </c>
      <c r="AY56" t="s">
        <v>263</v>
      </c>
      <c r="AZ56" t="s">
        <v>202</v>
      </c>
      <c r="BA56" t="s">
        <v>46</v>
      </c>
      <c r="BB56" s="10" t="s">
        <v>1007</v>
      </c>
      <c r="BC56" s="10" t="s">
        <v>1008</v>
      </c>
      <c r="BD56" t="s">
        <v>46</v>
      </c>
      <c r="BE56"/>
      <c r="BF56" s="22" t="s">
        <v>1009</v>
      </c>
      <c r="BG56" s="51" t="s">
        <v>1010</v>
      </c>
      <c r="BH56" s="24" t="s">
        <v>1011</v>
      </c>
      <c r="BI56" s="10" t="s">
        <v>1416</v>
      </c>
      <c r="BJ56" s="10" t="s">
        <v>1417</v>
      </c>
      <c r="BK56" s="10" t="s">
        <v>1418</v>
      </c>
    </row>
    <row r="57" spans="1:63" ht="242.5">
      <c r="A57" t="s">
        <v>1012</v>
      </c>
      <c r="B57" s="10" t="s">
        <v>1013</v>
      </c>
      <c r="C57" t="s">
        <v>1014</v>
      </c>
      <c r="D57">
        <v>2016</v>
      </c>
      <c r="E57" t="s">
        <v>1015</v>
      </c>
      <c r="F57" s="10" t="s">
        <v>740</v>
      </c>
      <c r="G57" s="10" t="s">
        <v>60</v>
      </c>
      <c r="H57" s="20" t="s">
        <v>1016</v>
      </c>
      <c r="I57" s="23" t="s">
        <v>861</v>
      </c>
      <c r="J57" t="s">
        <v>19</v>
      </c>
      <c r="K57" s="10" t="s">
        <v>1324</v>
      </c>
      <c r="L57" s="10" t="s">
        <v>1324</v>
      </c>
      <c r="M57" s="14" t="s">
        <v>168</v>
      </c>
      <c r="N57" t="s">
        <v>1289</v>
      </c>
      <c r="O57" s="21" t="s">
        <v>1017</v>
      </c>
      <c r="P57" s="10" t="s">
        <v>857</v>
      </c>
      <c r="Q57" s="11" t="s">
        <v>961</v>
      </c>
      <c r="R57" s="10" t="s">
        <v>9</v>
      </c>
      <c r="S57">
        <v>2011</v>
      </c>
      <c r="T57">
        <v>2</v>
      </c>
      <c r="U57" s="10" t="s">
        <v>342</v>
      </c>
      <c r="V57" t="s">
        <v>343</v>
      </c>
      <c r="W57" t="s">
        <v>216</v>
      </c>
      <c r="X57" t="s">
        <v>1334</v>
      </c>
      <c r="Y57" t="s">
        <v>1335</v>
      </c>
      <c r="Z57" t="s">
        <v>164</v>
      </c>
      <c r="AA57" s="15"/>
      <c r="AB57" t="s">
        <v>165</v>
      </c>
      <c r="AC57" s="22" t="s">
        <v>1005</v>
      </c>
      <c r="AD57" t="s">
        <v>16</v>
      </c>
      <c r="AE57">
        <v>102</v>
      </c>
      <c r="AF57" s="22" t="s">
        <v>1018</v>
      </c>
      <c r="AG57" t="s">
        <v>13</v>
      </c>
      <c r="AH57" t="s">
        <v>13</v>
      </c>
      <c r="AI57" s="22" t="s">
        <v>13</v>
      </c>
      <c r="AJ57" t="s">
        <v>13</v>
      </c>
      <c r="AK57" t="s">
        <v>13</v>
      </c>
      <c r="AL57" t="s">
        <v>116</v>
      </c>
      <c r="AM57" t="s">
        <v>117</v>
      </c>
      <c r="AN57" t="s">
        <v>13</v>
      </c>
      <c r="AO57" s="14" t="s">
        <v>13</v>
      </c>
      <c r="AP57"/>
      <c r="AQ57" s="16" t="s">
        <v>23</v>
      </c>
      <c r="AR57" s="14" t="s">
        <v>13</v>
      </c>
      <c r="AS57" s="17" t="s">
        <v>13</v>
      </c>
      <c r="AT57" s="17" t="s">
        <v>13</v>
      </c>
      <c r="AU57" t="s">
        <v>13</v>
      </c>
      <c r="AV57" s="51" t="s">
        <v>13</v>
      </c>
      <c r="AW57" s="16" t="s">
        <v>46</v>
      </c>
      <c r="AX57" t="s">
        <v>262</v>
      </c>
      <c r="AY57" t="s">
        <v>263</v>
      </c>
      <c r="AZ57" t="s">
        <v>492</v>
      </c>
      <c r="BA57" t="s">
        <v>46</v>
      </c>
      <c r="BB57" s="10" t="s">
        <v>1019</v>
      </c>
      <c r="BC57" s="10" t="s">
        <v>1020</v>
      </c>
      <c r="BD57" t="s">
        <v>46</v>
      </c>
      <c r="BE57"/>
      <c r="BF57" s="22" t="s">
        <v>1009</v>
      </c>
      <c r="BG57" s="51" t="s">
        <v>1021</v>
      </c>
      <c r="BH57" s="24"/>
      <c r="BI57" s="47" t="s">
        <v>1022</v>
      </c>
      <c r="BJ57" s="10" t="s">
        <v>1419</v>
      </c>
      <c r="BK57" s="47">
        <v>0</v>
      </c>
    </row>
    <row r="58" spans="1:63" ht="99.85">
      <c r="A58" t="s">
        <v>577</v>
      </c>
      <c r="B58" s="10" t="s">
        <v>578</v>
      </c>
      <c r="C58" t="s">
        <v>579</v>
      </c>
      <c r="D58">
        <v>2012</v>
      </c>
      <c r="E58" t="s">
        <v>580</v>
      </c>
      <c r="F58" s="10" t="s">
        <v>36</v>
      </c>
      <c r="G58" s="10" t="s">
        <v>37</v>
      </c>
      <c r="H58" s="20" t="s">
        <v>581</v>
      </c>
      <c r="I58" s="23" t="s">
        <v>18</v>
      </c>
      <c r="J58" t="s">
        <v>19</v>
      </c>
      <c r="K58" t="s">
        <v>570</v>
      </c>
      <c r="L58" t="s">
        <v>570</v>
      </c>
      <c r="M58" s="14" t="s">
        <v>20</v>
      </c>
      <c r="N58" t="s">
        <v>1288</v>
      </c>
      <c r="O58" s="21" t="s">
        <v>582</v>
      </c>
      <c r="P58" s="10" t="s">
        <v>583</v>
      </c>
      <c r="Q58" s="11" t="s">
        <v>63</v>
      </c>
      <c r="R58" s="10" t="s">
        <v>9</v>
      </c>
      <c r="S58">
        <v>2003</v>
      </c>
      <c r="T58">
        <v>1</v>
      </c>
      <c r="U58" t="s">
        <v>584</v>
      </c>
      <c r="V58" t="s">
        <v>343</v>
      </c>
      <c r="W58" t="s">
        <v>12</v>
      </c>
      <c r="Y58" s="22"/>
      <c r="Z58" t="s">
        <v>13</v>
      </c>
      <c r="AA58" s="15"/>
      <c r="AB58" t="s">
        <v>14</v>
      </c>
      <c r="AC58" s="22" t="s">
        <v>585</v>
      </c>
      <c r="AD58" s="10" t="s">
        <v>16</v>
      </c>
      <c r="AE58" s="10">
        <v>91</v>
      </c>
      <c r="AF58" s="22">
        <v>91</v>
      </c>
      <c r="AG58" t="s">
        <v>13</v>
      </c>
      <c r="AH58">
        <v>13178</v>
      </c>
      <c r="AI58" s="22">
        <v>13178</v>
      </c>
      <c r="AK58" t="s">
        <v>13</v>
      </c>
      <c r="AL58" t="s">
        <v>116</v>
      </c>
      <c r="AM58" t="s">
        <v>117</v>
      </c>
      <c r="AN58" t="s">
        <v>13</v>
      </c>
      <c r="AO58" s="14" t="s">
        <v>13</v>
      </c>
      <c r="AP58"/>
      <c r="AQ58" s="16" t="s">
        <v>23</v>
      </c>
      <c r="AR58" s="14" t="s">
        <v>13</v>
      </c>
      <c r="AS58" s="17" t="s">
        <v>586</v>
      </c>
      <c r="AT58" s="17" t="s">
        <v>587</v>
      </c>
      <c r="AU58" t="s">
        <v>588</v>
      </c>
      <c r="AV58" s="14" t="s">
        <v>13</v>
      </c>
      <c r="AW58" s="16" t="s">
        <v>23</v>
      </c>
      <c r="AX58" t="s">
        <v>13</v>
      </c>
      <c r="AY58" t="s">
        <v>13</v>
      </c>
      <c r="AZ58" t="s">
        <v>13</v>
      </c>
      <c r="BA58" t="s">
        <v>13</v>
      </c>
      <c r="BB58" t="s">
        <v>13</v>
      </c>
      <c r="BC58" t="s">
        <v>13</v>
      </c>
      <c r="BD58" t="s">
        <v>13</v>
      </c>
      <c r="BE58"/>
      <c r="BF58" s="22" t="s">
        <v>13</v>
      </c>
      <c r="BG58" t="s">
        <v>589</v>
      </c>
      <c r="BH58" s="24" t="s">
        <v>590</v>
      </c>
      <c r="BI58" t="s">
        <v>591</v>
      </c>
      <c r="BJ58" t="s">
        <v>592</v>
      </c>
      <c r="BK58" t="s">
        <v>593</v>
      </c>
    </row>
    <row r="59" spans="1:63" ht="57.1">
      <c r="A59" t="s">
        <v>55</v>
      </c>
      <c r="B59" s="10" t="s">
        <v>56</v>
      </c>
      <c r="C59" t="s">
        <v>57</v>
      </c>
      <c r="D59">
        <v>2014</v>
      </c>
      <c r="E59" t="s">
        <v>58</v>
      </c>
      <c r="F59" s="10" t="s">
        <v>59</v>
      </c>
      <c r="G59" s="10" t="s">
        <v>60</v>
      </c>
      <c r="H59" s="20" t="s">
        <v>61</v>
      </c>
      <c r="I59" s="23" t="s">
        <v>18</v>
      </c>
      <c r="J59" t="s">
        <v>19</v>
      </c>
      <c r="K59" s="10" t="s">
        <v>1328</v>
      </c>
      <c r="L59" s="10" t="s">
        <v>1328</v>
      </c>
      <c r="M59" s="14" t="s">
        <v>20</v>
      </c>
      <c r="N59" t="s">
        <v>1288</v>
      </c>
      <c r="O59" s="21" t="s">
        <v>62</v>
      </c>
      <c r="P59" s="10" t="s">
        <v>7</v>
      </c>
      <c r="Q59" s="11" t="s">
        <v>63</v>
      </c>
      <c r="R59" s="10" t="s">
        <v>9</v>
      </c>
      <c r="S59">
        <v>2005</v>
      </c>
      <c r="T59">
        <v>4</v>
      </c>
      <c r="U59" s="10" t="s">
        <v>41</v>
      </c>
      <c r="V59" s="10" t="s">
        <v>11</v>
      </c>
      <c r="W59" t="s">
        <v>12</v>
      </c>
      <c r="Y59" s="22" t="s">
        <v>64</v>
      </c>
      <c r="Z59" t="s">
        <v>13</v>
      </c>
      <c r="AA59" s="15"/>
      <c r="AB59" t="s">
        <v>14</v>
      </c>
      <c r="AC59" s="22" t="s">
        <v>65</v>
      </c>
      <c r="AD59" s="10" t="s">
        <v>16</v>
      </c>
      <c r="AE59" s="10">
        <v>35</v>
      </c>
      <c r="AF59" s="22">
        <v>35</v>
      </c>
      <c r="AG59" t="s">
        <v>13</v>
      </c>
      <c r="AH59">
        <v>3461</v>
      </c>
      <c r="AI59" s="22">
        <v>3461</v>
      </c>
      <c r="AK59" t="s">
        <v>13</v>
      </c>
      <c r="AL59" t="s">
        <v>116</v>
      </c>
      <c r="AM59" t="s">
        <v>117</v>
      </c>
      <c r="AN59" t="s">
        <v>13</v>
      </c>
      <c r="AO59" s="14" t="s">
        <v>13</v>
      </c>
      <c r="AP59" s="51" t="s">
        <v>66</v>
      </c>
      <c r="AQ59" s="16" t="s">
        <v>23</v>
      </c>
      <c r="AR59" s="14" t="s">
        <v>13</v>
      </c>
      <c r="AS59" s="17" t="s">
        <v>67</v>
      </c>
      <c r="AT59" s="17" t="s">
        <v>68</v>
      </c>
      <c r="AU59"/>
      <c r="AV59" s="14"/>
      <c r="AW59" s="16" t="s">
        <v>23</v>
      </c>
      <c r="AX59" t="s">
        <v>13</v>
      </c>
      <c r="AY59" t="s">
        <v>13</v>
      </c>
      <c r="AZ59" t="s">
        <v>13</v>
      </c>
      <c r="BA59" t="s">
        <v>13</v>
      </c>
      <c r="BB59" t="s">
        <v>13</v>
      </c>
      <c r="BC59" t="s">
        <v>13</v>
      </c>
      <c r="BD59" t="s">
        <v>13</v>
      </c>
      <c r="BE59"/>
      <c r="BF59" s="22" t="s">
        <v>13</v>
      </c>
      <c r="BG59" t="s">
        <v>69</v>
      </c>
      <c r="BH59" s="24"/>
      <c r="BI59" s="25" t="s">
        <v>70</v>
      </c>
      <c r="BJ59" s="25" t="s">
        <v>71</v>
      </c>
      <c r="BK59" s="25" t="s">
        <v>72</v>
      </c>
    </row>
    <row r="60" spans="1:63" ht="133.85" customHeight="1">
      <c r="A60" t="s">
        <v>1052</v>
      </c>
      <c r="B60" s="10" t="s">
        <v>1053</v>
      </c>
      <c r="C60" t="s">
        <v>1054</v>
      </c>
      <c r="D60">
        <v>2019</v>
      </c>
      <c r="E60" t="s">
        <v>1055</v>
      </c>
      <c r="F60" s="10" t="s">
        <v>1056</v>
      </c>
      <c r="G60" s="10" t="s">
        <v>338</v>
      </c>
      <c r="H60" s="20" t="s">
        <v>1057</v>
      </c>
      <c r="I60" s="23" t="s">
        <v>1061</v>
      </c>
      <c r="J60" t="s">
        <v>19</v>
      </c>
      <c r="K60" t="s">
        <v>1261</v>
      </c>
      <c r="L60" t="s">
        <v>1261</v>
      </c>
      <c r="M60" s="14" t="s">
        <v>196</v>
      </c>
      <c r="N60" t="s">
        <v>1288</v>
      </c>
      <c r="O60" s="21" t="s">
        <v>1058</v>
      </c>
      <c r="P60" s="10" t="s">
        <v>185</v>
      </c>
      <c r="Q60" s="11" t="s">
        <v>1059</v>
      </c>
      <c r="R60" s="10" t="s">
        <v>9</v>
      </c>
      <c r="S60">
        <v>2010</v>
      </c>
      <c r="T60">
        <v>7</v>
      </c>
      <c r="U60" s="10" t="s">
        <v>342</v>
      </c>
      <c r="V60" t="s">
        <v>343</v>
      </c>
      <c r="W60" t="s">
        <v>12</v>
      </c>
      <c r="Y60" s="22"/>
      <c r="Z60" t="s">
        <v>13</v>
      </c>
      <c r="AA60" s="15"/>
      <c r="AB60" t="s">
        <v>14</v>
      </c>
      <c r="AC60" s="22" t="s">
        <v>14</v>
      </c>
      <c r="AD60" s="10" t="s">
        <v>16</v>
      </c>
      <c r="AE60" s="10">
        <v>134</v>
      </c>
      <c r="AF60" s="22">
        <v>134</v>
      </c>
      <c r="AG60" t="s">
        <v>13</v>
      </c>
      <c r="AH60" t="s">
        <v>13</v>
      </c>
      <c r="AI60" s="22" t="s">
        <v>13</v>
      </c>
      <c r="AJ60" s="23" t="s">
        <v>1060</v>
      </c>
      <c r="AK60">
        <f>706827+845666</f>
        <v>1552493</v>
      </c>
      <c r="AL60" t="s">
        <v>116</v>
      </c>
      <c r="AM60" t="s">
        <v>117</v>
      </c>
      <c r="AN60" t="s">
        <v>13</v>
      </c>
      <c r="AO60" s="14" t="s">
        <v>13</v>
      </c>
      <c r="AP60"/>
      <c r="AQ60" s="16" t="s">
        <v>23</v>
      </c>
      <c r="AR60" s="14" t="s">
        <v>13</v>
      </c>
      <c r="AS60" s="17" t="s">
        <v>1062</v>
      </c>
      <c r="AT60" s="17" t="s">
        <v>1063</v>
      </c>
      <c r="AU60"/>
      <c r="AV60" s="14"/>
      <c r="AW60" s="16" t="s">
        <v>23</v>
      </c>
      <c r="AX60" t="s">
        <v>13</v>
      </c>
      <c r="AY60" t="s">
        <v>13</v>
      </c>
      <c r="AZ60" t="s">
        <v>13</v>
      </c>
      <c r="BA60" t="s">
        <v>13</v>
      </c>
      <c r="BB60" t="s">
        <v>13</v>
      </c>
      <c r="BC60" t="s">
        <v>13</v>
      </c>
      <c r="BD60" t="s">
        <v>13</v>
      </c>
      <c r="BE60"/>
      <c r="BF60" s="22" t="s">
        <v>13</v>
      </c>
      <c r="BG60" s="51" t="s">
        <v>69</v>
      </c>
      <c r="BH60" s="24"/>
      <c r="BI60" s="19" t="s">
        <v>1064</v>
      </c>
      <c r="BJ60" s="19" t="s">
        <v>1065</v>
      </c>
      <c r="BK60" s="19">
        <v>0</v>
      </c>
    </row>
    <row r="61" spans="1:63" ht="114.65" customHeight="1">
      <c r="A61" t="s">
        <v>73</v>
      </c>
      <c r="B61" s="10" t="s">
        <v>74</v>
      </c>
      <c r="C61" t="s">
        <v>75</v>
      </c>
      <c r="D61">
        <v>2011</v>
      </c>
      <c r="E61" t="s">
        <v>76</v>
      </c>
      <c r="F61" s="10" t="s">
        <v>77</v>
      </c>
      <c r="G61" s="10" t="s">
        <v>4</v>
      </c>
      <c r="H61" s="20" t="s">
        <v>78</v>
      </c>
      <c r="I61" s="23" t="s">
        <v>18</v>
      </c>
      <c r="J61" t="s">
        <v>19</v>
      </c>
      <c r="K61" s="10" t="s">
        <v>1328</v>
      </c>
      <c r="L61" s="10" t="s">
        <v>1328</v>
      </c>
      <c r="M61" s="14" t="s">
        <v>20</v>
      </c>
      <c r="N61" t="s">
        <v>1288</v>
      </c>
      <c r="O61" s="21" t="s">
        <v>62</v>
      </c>
      <c r="P61" s="17" t="s">
        <v>7</v>
      </c>
      <c r="Q61" s="11" t="s">
        <v>63</v>
      </c>
      <c r="R61" s="10" t="s">
        <v>9</v>
      </c>
      <c r="S61">
        <v>2003</v>
      </c>
      <c r="T61">
        <v>5</v>
      </c>
      <c r="U61" s="10" t="s">
        <v>41</v>
      </c>
      <c r="V61" s="10" t="s">
        <v>11</v>
      </c>
      <c r="W61" t="s">
        <v>12</v>
      </c>
      <c r="Y61" s="22"/>
      <c r="Z61" t="s">
        <v>13</v>
      </c>
      <c r="AA61" s="15"/>
      <c r="AB61" t="s">
        <v>14</v>
      </c>
      <c r="AC61" s="22" t="s">
        <v>65</v>
      </c>
      <c r="AD61" s="10" t="s">
        <v>16</v>
      </c>
      <c r="AE61" s="10">
        <v>35</v>
      </c>
      <c r="AF61" s="22">
        <v>35</v>
      </c>
      <c r="AG61" t="s">
        <v>13</v>
      </c>
      <c r="AH61" t="s">
        <v>13</v>
      </c>
      <c r="AI61" s="22" t="s">
        <v>13</v>
      </c>
      <c r="AK61" t="s">
        <v>13</v>
      </c>
      <c r="AL61" t="s">
        <v>21</v>
      </c>
      <c r="AM61" t="s">
        <v>13</v>
      </c>
      <c r="AN61" t="s">
        <v>13</v>
      </c>
      <c r="AO61" s="14" t="s">
        <v>22</v>
      </c>
      <c r="AP61" t="s">
        <v>79</v>
      </c>
      <c r="AQ61" s="16" t="s">
        <v>23</v>
      </c>
      <c r="AR61" s="14" t="s">
        <v>13</v>
      </c>
      <c r="AS61" s="17" t="s">
        <v>80</v>
      </c>
      <c r="AT61" s="17" t="s">
        <v>81</v>
      </c>
      <c r="AU61" t="s">
        <v>82</v>
      </c>
      <c r="AV61" s="14" t="s">
        <v>13</v>
      </c>
      <c r="AW61" s="16" t="s">
        <v>23</v>
      </c>
      <c r="AX61" t="s">
        <v>13</v>
      </c>
      <c r="AY61" t="s">
        <v>13</v>
      </c>
      <c r="AZ61" t="s">
        <v>13</v>
      </c>
      <c r="BA61" t="s">
        <v>13</v>
      </c>
      <c r="BB61" t="s">
        <v>13</v>
      </c>
      <c r="BC61" t="s">
        <v>13</v>
      </c>
      <c r="BD61" t="s">
        <v>13</v>
      </c>
      <c r="BE61"/>
      <c r="BF61" s="22" t="s">
        <v>13</v>
      </c>
      <c r="BG61" t="s">
        <v>83</v>
      </c>
      <c r="BH61" s="24"/>
      <c r="BI61" t="s">
        <v>84</v>
      </c>
      <c r="BJ61" s="25" t="s">
        <v>85</v>
      </c>
      <c r="BK61" s="25" t="s">
        <v>86</v>
      </c>
    </row>
    <row r="62" spans="1:63" ht="42.8">
      <c r="A62" t="s">
        <v>87</v>
      </c>
      <c r="B62" s="10" t="s">
        <v>88</v>
      </c>
      <c r="C62" t="s">
        <v>89</v>
      </c>
      <c r="D62">
        <v>2012</v>
      </c>
      <c r="E62" t="s">
        <v>4</v>
      </c>
      <c r="F62" s="10" t="s">
        <v>77</v>
      </c>
      <c r="G62" s="10" t="s">
        <v>4</v>
      </c>
      <c r="H62" s="14" t="s">
        <v>90</v>
      </c>
      <c r="I62" s="23" t="s">
        <v>18</v>
      </c>
      <c r="J62" t="s">
        <v>19</v>
      </c>
      <c r="K62" s="10" t="s">
        <v>1328</v>
      </c>
      <c r="L62" s="10" t="s">
        <v>1328</v>
      </c>
      <c r="M62" s="14" t="s">
        <v>20</v>
      </c>
      <c r="N62" t="s">
        <v>1288</v>
      </c>
      <c r="O62" s="21" t="s">
        <v>91</v>
      </c>
      <c r="P62" s="50" t="s">
        <v>7</v>
      </c>
      <c r="Q62" s="11" t="s">
        <v>63</v>
      </c>
      <c r="R62" s="10" t="s">
        <v>9</v>
      </c>
      <c r="S62">
        <v>2003</v>
      </c>
      <c r="T62">
        <v>5</v>
      </c>
      <c r="U62" s="10" t="s">
        <v>41</v>
      </c>
      <c r="V62" s="10" t="s">
        <v>11</v>
      </c>
      <c r="W62" t="s">
        <v>12</v>
      </c>
      <c r="Y62" s="22"/>
      <c r="Z62" t="s">
        <v>13</v>
      </c>
      <c r="AA62" s="15"/>
      <c r="AB62" t="s">
        <v>14</v>
      </c>
      <c r="AC62" s="22" t="s">
        <v>65</v>
      </c>
      <c r="AD62" s="10" t="s">
        <v>16</v>
      </c>
      <c r="AE62" s="10">
        <v>35</v>
      </c>
      <c r="AF62" s="22">
        <v>35</v>
      </c>
      <c r="AG62" t="s">
        <v>13</v>
      </c>
      <c r="AH62" t="s">
        <v>13</v>
      </c>
      <c r="AI62" s="22" t="s">
        <v>13</v>
      </c>
      <c r="AK62" t="s">
        <v>13</v>
      </c>
      <c r="AL62" t="s">
        <v>21</v>
      </c>
      <c r="AM62" t="s">
        <v>13</v>
      </c>
      <c r="AN62" t="s">
        <v>13</v>
      </c>
      <c r="AO62" s="14" t="s">
        <v>22</v>
      </c>
      <c r="AP62"/>
      <c r="AQ62" s="16" t="s">
        <v>23</v>
      </c>
      <c r="AR62" s="14" t="s">
        <v>13</v>
      </c>
      <c r="AS62" s="17" t="s">
        <v>92</v>
      </c>
      <c r="AT62" s="17" t="s">
        <v>93</v>
      </c>
      <c r="AU62" t="s">
        <v>94</v>
      </c>
      <c r="AV62" s="27" t="s">
        <v>95</v>
      </c>
      <c r="AW62" s="16" t="s">
        <v>23</v>
      </c>
      <c r="AX62" t="s">
        <v>13</v>
      </c>
      <c r="AY62" t="s">
        <v>13</v>
      </c>
      <c r="AZ62" t="s">
        <v>13</v>
      </c>
      <c r="BA62" t="s">
        <v>13</v>
      </c>
      <c r="BB62" t="s">
        <v>13</v>
      </c>
      <c r="BC62" t="s">
        <v>13</v>
      </c>
      <c r="BD62" t="s">
        <v>13</v>
      </c>
      <c r="BE62"/>
      <c r="BF62" s="22" t="s">
        <v>13</v>
      </c>
      <c r="BG62" t="s">
        <v>96</v>
      </c>
      <c r="BH62" s="24"/>
      <c r="BI62" s="25" t="s">
        <v>97</v>
      </c>
      <c r="BJ62" s="25" t="s">
        <v>98</v>
      </c>
      <c r="BK62" s="25" t="s">
        <v>99</v>
      </c>
    </row>
    <row r="63" spans="1:63" ht="42.8">
      <c r="A63" t="s">
        <v>100</v>
      </c>
      <c r="B63" s="10" t="s">
        <v>101</v>
      </c>
      <c r="C63" t="s">
        <v>75</v>
      </c>
      <c r="D63">
        <v>2013</v>
      </c>
      <c r="E63" t="s">
        <v>76</v>
      </c>
      <c r="F63" s="10" t="s">
        <v>77</v>
      </c>
      <c r="G63" s="10" t="s">
        <v>4</v>
      </c>
      <c r="H63" s="14" t="s">
        <v>102</v>
      </c>
      <c r="I63" s="23" t="s">
        <v>18</v>
      </c>
      <c r="J63" t="s">
        <v>19</v>
      </c>
      <c r="K63" s="10" t="s">
        <v>1328</v>
      </c>
      <c r="L63" s="10" t="s">
        <v>1328</v>
      </c>
      <c r="M63" s="14" t="s">
        <v>20</v>
      </c>
      <c r="N63" t="s">
        <v>1288</v>
      </c>
      <c r="O63" s="21" t="s">
        <v>91</v>
      </c>
      <c r="P63" s="50" t="s">
        <v>7</v>
      </c>
      <c r="Q63" s="11" t="s">
        <v>63</v>
      </c>
      <c r="R63" s="10" t="s">
        <v>9</v>
      </c>
      <c r="S63">
        <v>2003</v>
      </c>
      <c r="T63">
        <v>5</v>
      </c>
      <c r="U63" s="10" t="s">
        <v>41</v>
      </c>
      <c r="V63" s="10" t="s">
        <v>11</v>
      </c>
      <c r="W63" t="s">
        <v>12</v>
      </c>
      <c r="Y63" s="22"/>
      <c r="Z63" t="s">
        <v>13</v>
      </c>
      <c r="AA63" s="15"/>
      <c r="AB63" t="s">
        <v>14</v>
      </c>
      <c r="AC63" s="22" t="s">
        <v>65</v>
      </c>
      <c r="AD63" s="10" t="s">
        <v>16</v>
      </c>
      <c r="AE63" s="10">
        <v>35</v>
      </c>
      <c r="AF63" s="22">
        <v>35</v>
      </c>
      <c r="AG63" t="s">
        <v>13</v>
      </c>
      <c r="AH63" t="s">
        <v>13</v>
      </c>
      <c r="AI63" s="22" t="s">
        <v>13</v>
      </c>
      <c r="AK63" t="s">
        <v>13</v>
      </c>
      <c r="AL63" t="s">
        <v>21</v>
      </c>
      <c r="AM63" t="s">
        <v>13</v>
      </c>
      <c r="AN63" t="s">
        <v>13</v>
      </c>
      <c r="AO63" s="14" t="s">
        <v>22</v>
      </c>
      <c r="AP63" s="51"/>
      <c r="AQ63" s="16" t="s">
        <v>23</v>
      </c>
      <c r="AR63" s="14" t="s">
        <v>13</v>
      </c>
      <c r="AS63" s="17" t="s">
        <v>92</v>
      </c>
      <c r="AT63" s="17" t="s">
        <v>92</v>
      </c>
      <c r="AU63" t="s">
        <v>103</v>
      </c>
      <c r="AV63" s="27" t="s">
        <v>104</v>
      </c>
      <c r="AW63" s="16" t="s">
        <v>23</v>
      </c>
      <c r="AX63" t="s">
        <v>13</v>
      </c>
      <c r="AY63" t="s">
        <v>13</v>
      </c>
      <c r="AZ63" t="s">
        <v>13</v>
      </c>
      <c r="BA63" t="s">
        <v>13</v>
      </c>
      <c r="BB63" t="s">
        <v>13</v>
      </c>
      <c r="BC63" t="s">
        <v>13</v>
      </c>
      <c r="BD63" t="s">
        <v>13</v>
      </c>
      <c r="BE63"/>
      <c r="BF63" s="22" t="s">
        <v>13</v>
      </c>
      <c r="BG63" s="14" t="s">
        <v>96</v>
      </c>
      <c r="BH63" s="24"/>
      <c r="BI63" s="25" t="s">
        <v>105</v>
      </c>
      <c r="BJ63" s="25" t="s">
        <v>106</v>
      </c>
      <c r="BK63" s="25" t="s">
        <v>107</v>
      </c>
    </row>
    <row r="64" spans="1:63" ht="28.55">
      <c r="A64" t="s">
        <v>108</v>
      </c>
      <c r="B64" s="10" t="s">
        <v>109</v>
      </c>
      <c r="C64" t="s">
        <v>110</v>
      </c>
      <c r="D64">
        <v>2015</v>
      </c>
      <c r="E64" t="s">
        <v>111</v>
      </c>
      <c r="F64" s="10" t="s">
        <v>112</v>
      </c>
      <c r="G64" s="10" t="s">
        <v>37</v>
      </c>
      <c r="H64" s="14" t="s">
        <v>113</v>
      </c>
      <c r="I64" s="23" t="s">
        <v>18</v>
      </c>
      <c r="J64" t="s">
        <v>19</v>
      </c>
      <c r="K64" s="10" t="s">
        <v>1328</v>
      </c>
      <c r="L64" s="10" t="s">
        <v>1328</v>
      </c>
      <c r="M64" s="14" t="s">
        <v>20</v>
      </c>
      <c r="N64" t="s">
        <v>1288</v>
      </c>
      <c r="O64" s="21" t="s">
        <v>91</v>
      </c>
      <c r="P64" s="10" t="s">
        <v>7</v>
      </c>
      <c r="Q64" s="11" t="s">
        <v>63</v>
      </c>
      <c r="R64" s="10" t="s">
        <v>9</v>
      </c>
      <c r="S64">
        <v>2005</v>
      </c>
      <c r="T64">
        <v>1</v>
      </c>
      <c r="U64" s="28" t="s">
        <v>114</v>
      </c>
      <c r="V64" t="s">
        <v>11</v>
      </c>
      <c r="W64" t="s">
        <v>12</v>
      </c>
      <c r="Y64" s="22" t="s">
        <v>115</v>
      </c>
      <c r="Z64" t="s">
        <v>13</v>
      </c>
      <c r="AA64" s="15"/>
      <c r="AB64" t="s">
        <v>14</v>
      </c>
      <c r="AC64" s="22" t="s">
        <v>65</v>
      </c>
      <c r="AD64" s="10" t="s">
        <v>16</v>
      </c>
      <c r="AE64" s="10">
        <v>31</v>
      </c>
      <c r="AF64" s="22">
        <v>31</v>
      </c>
      <c r="AG64" t="s">
        <v>13</v>
      </c>
      <c r="AH64" t="s">
        <v>13</v>
      </c>
      <c r="AI64" s="22" t="s">
        <v>13</v>
      </c>
      <c r="AK64" t="s">
        <v>13</v>
      </c>
      <c r="AL64" t="s">
        <v>116</v>
      </c>
      <c r="AM64" t="s">
        <v>117</v>
      </c>
      <c r="AN64" t="s">
        <v>13</v>
      </c>
      <c r="AO64" s="14" t="s">
        <v>13</v>
      </c>
      <c r="AP64" s="26" t="s">
        <v>118</v>
      </c>
      <c r="AQ64" s="16" t="s">
        <v>23</v>
      </c>
      <c r="AR64" s="14" t="s">
        <v>13</v>
      </c>
      <c r="AS64" s="17" t="s">
        <v>92</v>
      </c>
      <c r="AT64" s="17" t="s">
        <v>119</v>
      </c>
      <c r="AU64" t="s">
        <v>120</v>
      </c>
      <c r="AV64" s="14" t="s">
        <v>13</v>
      </c>
      <c r="AW64" s="16" t="s">
        <v>23</v>
      </c>
      <c r="AX64" t="s">
        <v>13</v>
      </c>
      <c r="AY64" t="s">
        <v>13</v>
      </c>
      <c r="AZ64" t="s">
        <v>13</v>
      </c>
      <c r="BA64" t="s">
        <v>13</v>
      </c>
      <c r="BB64" t="s">
        <v>13</v>
      </c>
      <c r="BC64" t="s">
        <v>13</v>
      </c>
      <c r="BD64" t="s">
        <v>13</v>
      </c>
      <c r="BE64"/>
      <c r="BF64" s="22" t="s">
        <v>13</v>
      </c>
      <c r="BG64" s="14" t="s">
        <v>96</v>
      </c>
      <c r="BH64" s="24"/>
      <c r="BI64" s="25" t="s">
        <v>121</v>
      </c>
      <c r="BJ64" s="25" t="s">
        <v>122</v>
      </c>
      <c r="BK64" s="25" t="s">
        <v>123</v>
      </c>
    </row>
    <row r="65" spans="1:63" ht="28.55">
      <c r="A65" t="s">
        <v>1391</v>
      </c>
      <c r="B65" s="10" t="s">
        <v>1392</v>
      </c>
      <c r="C65" t="s">
        <v>1393</v>
      </c>
      <c r="D65">
        <v>2025</v>
      </c>
      <c r="E65" t="s">
        <v>1394</v>
      </c>
      <c r="G65" s="10" t="s">
        <v>60</v>
      </c>
      <c r="H65" s="14" t="s">
        <v>1395</v>
      </c>
      <c r="J65" s="10" t="s">
        <v>19</v>
      </c>
      <c r="K65" s="10" t="s">
        <v>1396</v>
      </c>
      <c r="L65" s="10" t="s">
        <v>1396</v>
      </c>
      <c r="M65" s="20" t="s">
        <v>1170</v>
      </c>
      <c r="N65" s="52" t="s">
        <v>1289</v>
      </c>
      <c r="O65" s="21" t="s">
        <v>1397</v>
      </c>
      <c r="P65" s="52"/>
      <c r="Q65" s="11"/>
      <c r="R65" s="10" t="s">
        <v>9</v>
      </c>
      <c r="S65">
        <v>2021</v>
      </c>
      <c r="T65">
        <v>2</v>
      </c>
      <c r="V65" s="10" t="s">
        <v>11</v>
      </c>
      <c r="W65" t="s">
        <v>12</v>
      </c>
      <c r="Y65" s="15"/>
      <c r="Z65" t="s">
        <v>13</v>
      </c>
      <c r="AA65" s="15"/>
      <c r="AB65" t="s">
        <v>14</v>
      </c>
      <c r="AD65" t="s">
        <v>16</v>
      </c>
      <c r="AE65" s="22">
        <v>126</v>
      </c>
      <c r="AF65" s="22"/>
      <c r="AG65" t="s">
        <v>13</v>
      </c>
      <c r="AH65">
        <v>2127</v>
      </c>
      <c r="AJ65" t="s">
        <v>13</v>
      </c>
      <c r="AK65" t="s">
        <v>13</v>
      </c>
      <c r="AL65" t="s">
        <v>116</v>
      </c>
      <c r="AP65" s="51"/>
      <c r="AQ65" s="16"/>
      <c r="AR65" s="20"/>
      <c r="AS65" s="17"/>
      <c r="AT65" s="17" t="s">
        <v>1399</v>
      </c>
      <c r="AU65" s="51"/>
      <c r="AV65" s="14"/>
      <c r="AW65" s="16" t="s">
        <v>23</v>
      </c>
      <c r="AX65" t="s">
        <v>13</v>
      </c>
      <c r="AY65" t="s">
        <v>13</v>
      </c>
      <c r="AZ65" t="s">
        <v>13</v>
      </c>
      <c r="BA65" t="s">
        <v>13</v>
      </c>
      <c r="BB65" t="s">
        <v>13</v>
      </c>
      <c r="BC65" t="s">
        <v>13</v>
      </c>
      <c r="BD65" t="s">
        <v>13</v>
      </c>
      <c r="BE65" t="s">
        <v>13</v>
      </c>
      <c r="BG65" s="14" t="s">
        <v>1360</v>
      </c>
      <c r="BH65" s="24" t="s">
        <v>1398</v>
      </c>
      <c r="BI65" s="29"/>
      <c r="BJ65" s="29"/>
      <c r="BK65" s="29"/>
    </row>
    <row r="66" spans="1:63" ht="71.349999999999994">
      <c r="A66" t="s">
        <v>466</v>
      </c>
      <c r="B66" s="10" t="s">
        <v>467</v>
      </c>
      <c r="C66" t="s">
        <v>468</v>
      </c>
      <c r="D66">
        <v>2017</v>
      </c>
      <c r="E66" t="s">
        <v>181</v>
      </c>
      <c r="F66" s="10" t="s">
        <v>182</v>
      </c>
      <c r="G66" s="10" t="s">
        <v>129</v>
      </c>
      <c r="H66" s="20" t="s">
        <v>469</v>
      </c>
      <c r="I66" s="23" t="s">
        <v>365</v>
      </c>
      <c r="J66" t="s">
        <v>365</v>
      </c>
      <c r="K66" s="34" t="s">
        <v>475</v>
      </c>
      <c r="L66" s="34" t="s">
        <v>1347</v>
      </c>
      <c r="M66" s="14" t="s">
        <v>475</v>
      </c>
      <c r="N66" t="s">
        <v>1288</v>
      </c>
      <c r="O66" s="21" t="s">
        <v>470</v>
      </c>
      <c r="P66" s="10" t="s">
        <v>471</v>
      </c>
      <c r="Q66" s="11" t="s">
        <v>472</v>
      </c>
      <c r="R66" s="10" t="s">
        <v>9</v>
      </c>
      <c r="S66">
        <v>2014</v>
      </c>
      <c r="T66">
        <v>1</v>
      </c>
      <c r="U66" t="s">
        <v>473</v>
      </c>
      <c r="V66" t="s">
        <v>11</v>
      </c>
      <c r="W66" t="s">
        <v>12</v>
      </c>
      <c r="Y66" s="22"/>
      <c r="Z66" t="s">
        <v>13</v>
      </c>
      <c r="AA66" s="15"/>
      <c r="AB66" t="s">
        <v>165</v>
      </c>
      <c r="AC66" s="22" t="s">
        <v>474</v>
      </c>
      <c r="AD66" t="s">
        <v>16</v>
      </c>
      <c r="AE66">
        <v>2063</v>
      </c>
      <c r="AF66" s="22">
        <v>2063</v>
      </c>
      <c r="AG66" t="s">
        <v>13</v>
      </c>
      <c r="AH66">
        <v>1033239</v>
      </c>
      <c r="AI66" s="22">
        <v>1033239</v>
      </c>
      <c r="AK66">
        <v>2300728</v>
      </c>
      <c r="AL66" t="s">
        <v>116</v>
      </c>
      <c r="AM66" t="s">
        <v>117</v>
      </c>
      <c r="AN66" t="s">
        <v>13</v>
      </c>
      <c r="AO66" s="14" t="s">
        <v>13</v>
      </c>
      <c r="AP66"/>
      <c r="AQ66" s="16" t="s">
        <v>46</v>
      </c>
      <c r="AR66" s="14" t="s">
        <v>476</v>
      </c>
      <c r="AS66" s="17" t="s">
        <v>477</v>
      </c>
      <c r="AT66" s="35" t="s">
        <v>478</v>
      </c>
      <c r="AU66"/>
      <c r="AV66" s="14"/>
      <c r="AW66" s="16" t="s">
        <v>23</v>
      </c>
      <c r="AX66" t="s">
        <v>13</v>
      </c>
      <c r="AY66" t="s">
        <v>13</v>
      </c>
      <c r="AZ66" t="s">
        <v>13</v>
      </c>
      <c r="BA66" t="s">
        <v>13</v>
      </c>
      <c r="BB66" t="s">
        <v>13</v>
      </c>
      <c r="BC66" t="s">
        <v>13</v>
      </c>
      <c r="BD66" t="s">
        <v>13</v>
      </c>
      <c r="BE66"/>
      <c r="BF66" s="22" t="s">
        <v>13</v>
      </c>
      <c r="BG66" s="14" t="s">
        <v>69</v>
      </c>
      <c r="BH66" s="24"/>
      <c r="BI66" t="s">
        <v>479</v>
      </c>
      <c r="BJ66" t="s">
        <v>480</v>
      </c>
      <c r="BK66" t="s">
        <v>481</v>
      </c>
    </row>
    <row r="67" spans="1:63" ht="71.349999999999994">
      <c r="A67" t="s">
        <v>482</v>
      </c>
      <c r="B67" s="10" t="s">
        <v>483</v>
      </c>
      <c r="C67" t="s">
        <v>484</v>
      </c>
      <c r="D67">
        <v>2020</v>
      </c>
      <c r="E67" t="s">
        <v>485</v>
      </c>
      <c r="F67" s="10" t="s">
        <v>212</v>
      </c>
      <c r="G67" s="10" t="s">
        <v>212</v>
      </c>
      <c r="H67" s="20" t="s">
        <v>486</v>
      </c>
      <c r="I67" s="23" t="s">
        <v>365</v>
      </c>
      <c r="J67" t="s">
        <v>365</v>
      </c>
      <c r="K67" s="34" t="s">
        <v>475</v>
      </c>
      <c r="L67" s="34" t="s">
        <v>1347</v>
      </c>
      <c r="M67" s="14" t="s">
        <v>475</v>
      </c>
      <c r="N67" t="s">
        <v>1288</v>
      </c>
      <c r="O67" s="21" t="s">
        <v>470</v>
      </c>
      <c r="P67" s="10" t="s">
        <v>471</v>
      </c>
      <c r="Q67" s="11" t="s">
        <v>487</v>
      </c>
      <c r="R67" s="10" t="s">
        <v>9</v>
      </c>
      <c r="S67">
        <v>2014</v>
      </c>
      <c r="T67">
        <v>1</v>
      </c>
      <c r="U67" t="s">
        <v>473</v>
      </c>
      <c r="V67" t="s">
        <v>488</v>
      </c>
      <c r="W67" t="s">
        <v>12</v>
      </c>
      <c r="Y67" s="22"/>
      <c r="Z67" t="s">
        <v>13</v>
      </c>
      <c r="AA67" s="15"/>
      <c r="AB67" t="s">
        <v>165</v>
      </c>
      <c r="AC67" s="22" t="s">
        <v>489</v>
      </c>
      <c r="AD67" t="s">
        <v>16</v>
      </c>
      <c r="AE67">
        <v>2063</v>
      </c>
      <c r="AF67" s="22">
        <v>2063</v>
      </c>
      <c r="AG67" t="s">
        <v>13</v>
      </c>
      <c r="AH67">
        <v>1033239</v>
      </c>
      <c r="AI67" s="22">
        <v>1033239</v>
      </c>
      <c r="AK67">
        <v>2300728</v>
      </c>
      <c r="AL67" t="s">
        <v>116</v>
      </c>
      <c r="AM67" t="s">
        <v>117</v>
      </c>
      <c r="AN67" t="s">
        <v>13</v>
      </c>
      <c r="AO67" s="14" t="s">
        <v>13</v>
      </c>
      <c r="AP67"/>
      <c r="AQ67" s="16" t="s">
        <v>23</v>
      </c>
      <c r="AR67" s="14" t="s">
        <v>13</v>
      </c>
      <c r="AS67" s="17" t="s">
        <v>490</v>
      </c>
      <c r="AT67" s="17" t="s">
        <v>491</v>
      </c>
      <c r="AU67" t="s">
        <v>23</v>
      </c>
      <c r="AV67" s="14" t="s">
        <v>23</v>
      </c>
      <c r="AW67" s="16" t="s">
        <v>23</v>
      </c>
      <c r="AX67" t="s">
        <v>13</v>
      </c>
      <c r="AY67" t="s">
        <v>13</v>
      </c>
      <c r="AZ67" t="s">
        <v>13</v>
      </c>
      <c r="BA67" t="s">
        <v>13</v>
      </c>
      <c r="BB67" t="s">
        <v>13</v>
      </c>
      <c r="BC67" t="s">
        <v>13</v>
      </c>
      <c r="BD67" t="s">
        <v>13</v>
      </c>
      <c r="BE67"/>
      <c r="BF67" s="22" t="s">
        <v>13</v>
      </c>
      <c r="BG67" s="14" t="s">
        <v>69</v>
      </c>
      <c r="BH67" s="24"/>
      <c r="BI67" s="19" t="s">
        <v>493</v>
      </c>
      <c r="BJ67" s="19" t="s">
        <v>494</v>
      </c>
      <c r="BK67" s="19" t="s">
        <v>495</v>
      </c>
    </row>
    <row r="68" spans="1:63" ht="85.6">
      <c r="A68" t="s">
        <v>1384</v>
      </c>
      <c r="B68" s="10" t="s">
        <v>1385</v>
      </c>
      <c r="C68" t="s">
        <v>1386</v>
      </c>
      <c r="D68">
        <v>2025</v>
      </c>
      <c r="E68" t="s">
        <v>272</v>
      </c>
      <c r="G68" s="10" t="s">
        <v>60</v>
      </c>
      <c r="H68" s="20" t="s">
        <v>1387</v>
      </c>
      <c r="J68" s="10" t="s">
        <v>19</v>
      </c>
      <c r="K68" s="10" t="s">
        <v>1376</v>
      </c>
      <c r="L68" s="10" t="s">
        <v>1376</v>
      </c>
      <c r="M68" s="20" t="s">
        <v>1170</v>
      </c>
      <c r="N68" s="11" t="s">
        <v>1289</v>
      </c>
      <c r="O68" s="21" t="s">
        <v>1388</v>
      </c>
      <c r="P68" s="11" t="s">
        <v>1388</v>
      </c>
      <c r="Q68" s="11"/>
      <c r="R68" s="10" t="s">
        <v>9</v>
      </c>
      <c r="S68">
        <v>2018</v>
      </c>
      <c r="T68">
        <v>2</v>
      </c>
      <c r="V68" s="10" t="s">
        <v>11</v>
      </c>
      <c r="W68" t="s">
        <v>216</v>
      </c>
      <c r="X68" t="s">
        <v>1332</v>
      </c>
      <c r="Y68" s="22"/>
      <c r="Z68" t="s">
        <v>164</v>
      </c>
      <c r="AA68" s="15"/>
      <c r="AB68" t="s">
        <v>165</v>
      </c>
      <c r="AC68" s="22" t="s">
        <v>1389</v>
      </c>
      <c r="AD68" t="s">
        <v>16</v>
      </c>
      <c r="AE68" s="22">
        <v>144</v>
      </c>
      <c r="AF68" s="22"/>
      <c r="AG68" t="s">
        <v>13</v>
      </c>
      <c r="AH68">
        <v>11816</v>
      </c>
      <c r="AJ68" t="s">
        <v>13</v>
      </c>
      <c r="AK68" t="s">
        <v>13</v>
      </c>
      <c r="AL68" t="s">
        <v>116</v>
      </c>
      <c r="AM68" t="s">
        <v>117</v>
      </c>
      <c r="AN68" t="s">
        <v>13</v>
      </c>
      <c r="AO68" s="14" t="s">
        <v>13</v>
      </c>
      <c r="AP68"/>
      <c r="AQ68" s="16"/>
      <c r="AR68" s="20"/>
      <c r="AS68" s="17"/>
      <c r="AT68" s="10" t="s">
        <v>1403</v>
      </c>
      <c r="AU68" t="s">
        <v>13</v>
      </c>
      <c r="AV68" s="51" t="s">
        <v>13</v>
      </c>
      <c r="AW68" s="16" t="s">
        <v>23</v>
      </c>
      <c r="AX68" t="s">
        <v>13</v>
      </c>
      <c r="AY68" t="s">
        <v>13</v>
      </c>
      <c r="AZ68" t="s">
        <v>13</v>
      </c>
      <c r="BA68" t="s">
        <v>13</v>
      </c>
      <c r="BB68" t="s">
        <v>13</v>
      </c>
      <c r="BC68" t="s">
        <v>13</v>
      </c>
      <c r="BD68" t="s">
        <v>13</v>
      </c>
      <c r="BE68" t="s">
        <v>13</v>
      </c>
      <c r="BG68" s="14" t="s">
        <v>1360</v>
      </c>
      <c r="BH68" s="24" t="s">
        <v>1390</v>
      </c>
      <c r="BI68" s="29"/>
      <c r="BJ68" s="29"/>
      <c r="BK68" s="29"/>
    </row>
    <row r="69" spans="1:63" ht="142.65">
      <c r="A69" t="s">
        <v>333</v>
      </c>
      <c r="B69" s="10" t="s">
        <v>334</v>
      </c>
      <c r="C69" t="s">
        <v>335</v>
      </c>
      <c r="D69">
        <v>2014</v>
      </c>
      <c r="E69" t="s">
        <v>336</v>
      </c>
      <c r="F69" s="10" t="s">
        <v>337</v>
      </c>
      <c r="G69" s="10" t="s">
        <v>338</v>
      </c>
      <c r="H69" s="20" t="s">
        <v>339</v>
      </c>
      <c r="I69" s="23" t="s">
        <v>18</v>
      </c>
      <c r="J69" t="s">
        <v>19</v>
      </c>
      <c r="K69" t="s">
        <v>1273</v>
      </c>
      <c r="L69" t="s">
        <v>1329</v>
      </c>
      <c r="M69" s="14" t="s">
        <v>346</v>
      </c>
      <c r="N69" t="s">
        <v>1288</v>
      </c>
      <c r="O69" s="21" t="s">
        <v>13</v>
      </c>
      <c r="P69" s="50" t="s">
        <v>340</v>
      </c>
      <c r="Q69" s="11" t="s">
        <v>341</v>
      </c>
      <c r="R69" s="10" t="s">
        <v>9</v>
      </c>
      <c r="S69" s="10" t="s">
        <v>13</v>
      </c>
      <c r="T69" s="10" t="s">
        <v>1031</v>
      </c>
      <c r="U69" s="10" t="s">
        <v>342</v>
      </c>
      <c r="V69" t="s">
        <v>343</v>
      </c>
      <c r="W69" t="s">
        <v>12</v>
      </c>
      <c r="Y69" s="13"/>
      <c r="Z69" t="s">
        <v>13</v>
      </c>
      <c r="AA69" s="15"/>
      <c r="AB69" t="s">
        <v>14</v>
      </c>
      <c r="AC69" s="22" t="s">
        <v>344</v>
      </c>
      <c r="AD69" t="s">
        <v>345</v>
      </c>
      <c r="AE69" t="s">
        <v>13</v>
      </c>
      <c r="AF69" s="22" t="s">
        <v>13</v>
      </c>
      <c r="AG69">
        <v>8507</v>
      </c>
      <c r="AH69" t="s">
        <v>13</v>
      </c>
      <c r="AI69" s="22" t="s">
        <v>13</v>
      </c>
      <c r="AJ69" t="s">
        <v>1430</v>
      </c>
      <c r="AK69" t="s">
        <v>1429</v>
      </c>
      <c r="AL69" t="s">
        <v>116</v>
      </c>
      <c r="AM69" t="s">
        <v>117</v>
      </c>
      <c r="AN69" t="s">
        <v>13</v>
      </c>
      <c r="AO69" s="14" t="s">
        <v>13</v>
      </c>
      <c r="AP69"/>
      <c r="AQ69" s="16" t="s">
        <v>23</v>
      </c>
      <c r="AR69" s="14" t="s">
        <v>13</v>
      </c>
      <c r="AS69" s="50" t="s">
        <v>347</v>
      </c>
      <c r="AT69" s="50" t="s">
        <v>348</v>
      </c>
      <c r="AU69" t="s">
        <v>349</v>
      </c>
      <c r="AV69" s="14" t="s">
        <v>13</v>
      </c>
      <c r="AW69" s="16" t="s">
        <v>46</v>
      </c>
      <c r="AX69" t="s">
        <v>200</v>
      </c>
      <c r="AY69" t="s">
        <v>350</v>
      </c>
      <c r="AZ69" t="s">
        <v>202</v>
      </c>
      <c r="BA69" t="s">
        <v>23</v>
      </c>
      <c r="BB69" t="s">
        <v>13</v>
      </c>
      <c r="BC69" t="s">
        <v>13</v>
      </c>
      <c r="BD69" t="s">
        <v>46</v>
      </c>
      <c r="BE69"/>
      <c r="BF69" s="22" t="s">
        <v>351</v>
      </c>
      <c r="BG69" s="14" t="s">
        <v>69</v>
      </c>
      <c r="BH69" s="24" t="s">
        <v>352</v>
      </c>
      <c r="BI69" s="47" t="s">
        <v>353</v>
      </c>
      <c r="BJ69" s="47">
        <v>0</v>
      </c>
      <c r="BK69" s="47">
        <v>0</v>
      </c>
    </row>
    <row r="70" spans="1:63" ht="99.85">
      <c r="A70" t="s">
        <v>313</v>
      </c>
      <c r="B70" s="10" t="s">
        <v>314</v>
      </c>
      <c r="C70" t="s">
        <v>315</v>
      </c>
      <c r="D70">
        <v>2021</v>
      </c>
      <c r="E70" t="s">
        <v>316</v>
      </c>
      <c r="F70" s="10" t="s">
        <v>317</v>
      </c>
      <c r="G70" s="10" t="s">
        <v>129</v>
      </c>
      <c r="H70" s="20" t="s">
        <v>318</v>
      </c>
      <c r="I70" s="23" t="s">
        <v>324</v>
      </c>
      <c r="J70" t="s">
        <v>325</v>
      </c>
      <c r="K70" t="s">
        <v>1310</v>
      </c>
      <c r="L70" t="s">
        <v>1310</v>
      </c>
      <c r="M70" s="14" t="s">
        <v>326</v>
      </c>
      <c r="N70" t="s">
        <v>1288</v>
      </c>
      <c r="O70" s="21" t="s">
        <v>13</v>
      </c>
      <c r="P70" s="10" t="s">
        <v>319</v>
      </c>
      <c r="Q70" s="11" t="s">
        <v>320</v>
      </c>
      <c r="R70" s="10" t="s">
        <v>321</v>
      </c>
      <c r="S70">
        <v>2013</v>
      </c>
      <c r="T70">
        <v>1</v>
      </c>
      <c r="U70" t="s">
        <v>322</v>
      </c>
      <c r="V70" t="s">
        <v>11</v>
      </c>
      <c r="W70" t="s">
        <v>12</v>
      </c>
      <c r="Y70" s="22"/>
      <c r="Z70" t="s">
        <v>13</v>
      </c>
      <c r="AA70" s="15"/>
      <c r="AB70" t="s">
        <v>14</v>
      </c>
      <c r="AC70" s="22" t="s">
        <v>14</v>
      </c>
      <c r="AD70" t="s">
        <v>323</v>
      </c>
      <c r="AE70">
        <v>1</v>
      </c>
      <c r="AF70" s="22">
        <v>1</v>
      </c>
      <c r="AG70">
        <v>411</v>
      </c>
      <c r="AH70">
        <v>100301</v>
      </c>
      <c r="AI70" s="22">
        <v>100301</v>
      </c>
      <c r="AK70" t="s">
        <v>13</v>
      </c>
      <c r="AL70" t="s">
        <v>116</v>
      </c>
      <c r="AM70" t="s">
        <v>117</v>
      </c>
      <c r="AN70" t="s">
        <v>13</v>
      </c>
      <c r="AO70" s="14" t="s">
        <v>13</v>
      </c>
      <c r="AP70"/>
      <c r="AQ70" s="16" t="s">
        <v>23</v>
      </c>
      <c r="AR70" s="14" t="s">
        <v>13</v>
      </c>
      <c r="AS70" s="50" t="s">
        <v>327</v>
      </c>
      <c r="AT70" s="50" t="s">
        <v>328</v>
      </c>
      <c r="AU70"/>
      <c r="AV70" s="14" t="s">
        <v>329</v>
      </c>
      <c r="AW70" s="16" t="s">
        <v>23</v>
      </c>
      <c r="AX70" t="s">
        <v>13</v>
      </c>
      <c r="AY70" t="s">
        <v>13</v>
      </c>
      <c r="AZ70" t="s">
        <v>13</v>
      </c>
      <c r="BA70" t="s">
        <v>13</v>
      </c>
      <c r="BB70" t="s">
        <v>13</v>
      </c>
      <c r="BC70" t="s">
        <v>13</v>
      </c>
      <c r="BD70" t="s">
        <v>13</v>
      </c>
      <c r="BE70"/>
      <c r="BF70" s="22" t="s">
        <v>13</v>
      </c>
      <c r="BG70" s="14" t="s">
        <v>69</v>
      </c>
      <c r="BH70" s="24"/>
      <c r="BI70" s="25" t="s">
        <v>330</v>
      </c>
      <c r="BJ70" s="25" t="s">
        <v>331</v>
      </c>
      <c r="BK70" s="25" t="s">
        <v>332</v>
      </c>
    </row>
    <row r="71" spans="1:63" ht="90.35">
      <c r="A71" t="s">
        <v>684</v>
      </c>
      <c r="B71" s="10" t="s">
        <v>685</v>
      </c>
      <c r="C71" t="s">
        <v>686</v>
      </c>
      <c r="D71">
        <v>2020</v>
      </c>
      <c r="E71" t="s">
        <v>687</v>
      </c>
      <c r="F71" s="10" t="s">
        <v>688</v>
      </c>
      <c r="G71" s="10" t="s">
        <v>60</v>
      </c>
      <c r="H71" s="50" t="s">
        <v>689</v>
      </c>
      <c r="I71" s="23" t="s">
        <v>194</v>
      </c>
      <c r="J71" t="s">
        <v>19</v>
      </c>
      <c r="K71" t="s">
        <v>695</v>
      </c>
      <c r="L71" t="s">
        <v>1286</v>
      </c>
      <c r="M71" s="14" t="s">
        <v>196</v>
      </c>
      <c r="N71" t="s">
        <v>1288</v>
      </c>
      <c r="O71" s="21" t="s">
        <v>674</v>
      </c>
      <c r="P71" s="10" t="s">
        <v>185</v>
      </c>
      <c r="Q71" s="11" t="s">
        <v>690</v>
      </c>
      <c r="R71" s="10" t="s">
        <v>9</v>
      </c>
      <c r="S71" t="s">
        <v>691</v>
      </c>
      <c r="T71" t="s">
        <v>692</v>
      </c>
      <c r="U71" t="s">
        <v>638</v>
      </c>
      <c r="V71" t="s">
        <v>343</v>
      </c>
      <c r="W71" t="s">
        <v>216</v>
      </c>
      <c r="X71" t="s">
        <v>1334</v>
      </c>
      <c r="Y71" s="22"/>
      <c r="Z71" t="s">
        <v>584</v>
      </c>
      <c r="AA71" s="15"/>
      <c r="AB71" t="s">
        <v>14</v>
      </c>
      <c r="AC71" s="22" t="s">
        <v>14</v>
      </c>
      <c r="AD71" t="s">
        <v>16</v>
      </c>
      <c r="AE71" t="s">
        <v>693</v>
      </c>
      <c r="AF71" s="22" t="s">
        <v>693</v>
      </c>
      <c r="AG71" t="s">
        <v>13</v>
      </c>
      <c r="AH71" t="s">
        <v>13</v>
      </c>
      <c r="AI71" s="22" t="s">
        <v>13</v>
      </c>
      <c r="AJ71" t="s">
        <v>694</v>
      </c>
      <c r="AK71" t="s">
        <v>13</v>
      </c>
      <c r="AL71" t="s">
        <v>116</v>
      </c>
      <c r="AM71" t="s">
        <v>117</v>
      </c>
      <c r="AN71" t="s">
        <v>13</v>
      </c>
      <c r="AO71" s="14" t="s">
        <v>13</v>
      </c>
      <c r="AP71"/>
      <c r="AQ71" s="16" t="s">
        <v>696</v>
      </c>
      <c r="AR71" s="14" t="s">
        <v>13</v>
      </c>
      <c r="AS71" s="17" t="s">
        <v>697</v>
      </c>
      <c r="AT71" s="17" t="s">
        <v>698</v>
      </c>
      <c r="AU71" t="s">
        <v>13</v>
      </c>
      <c r="AV71" s="14" t="s">
        <v>13</v>
      </c>
      <c r="AW71" s="16" t="s">
        <v>46</v>
      </c>
      <c r="AX71" t="s">
        <v>200</v>
      </c>
      <c r="AY71" t="s">
        <v>201</v>
      </c>
      <c r="AZ71" t="s">
        <v>699</v>
      </c>
      <c r="BA71" t="s">
        <v>46</v>
      </c>
      <c r="BB71" s="10" t="s">
        <v>700</v>
      </c>
      <c r="BC71" s="10" t="s">
        <v>701</v>
      </c>
      <c r="BD71" t="s">
        <v>23</v>
      </c>
      <c r="BE71"/>
      <c r="BF71" s="22" t="s">
        <v>13</v>
      </c>
      <c r="BG71" s="14" t="s">
        <v>27</v>
      </c>
      <c r="BH71" s="24" t="s">
        <v>702</v>
      </c>
      <c r="BI71" s="47" t="s">
        <v>703</v>
      </c>
      <c r="BJ71" s="47" t="s">
        <v>704</v>
      </c>
      <c r="BK71" s="47" t="s">
        <v>705</v>
      </c>
    </row>
    <row r="72" spans="1:63" ht="120.6" customHeight="1">
      <c r="A72" t="s">
        <v>1277</v>
      </c>
      <c r="I72" s="23" t="s">
        <v>194</v>
      </c>
      <c r="J72" t="s">
        <v>19</v>
      </c>
      <c r="K72" t="s">
        <v>644</v>
      </c>
      <c r="L72" t="s">
        <v>644</v>
      </c>
      <c r="M72" s="14" t="s">
        <v>196</v>
      </c>
      <c r="N72" t="s">
        <v>1288</v>
      </c>
      <c r="O72" s="21"/>
      <c r="P72" s="17" t="s">
        <v>185</v>
      </c>
      <c r="Q72" s="11"/>
      <c r="R72" s="10" t="s">
        <v>9</v>
      </c>
      <c r="S72">
        <v>2008</v>
      </c>
      <c r="T72">
        <v>8</v>
      </c>
      <c r="U72" t="s">
        <v>638</v>
      </c>
      <c r="V72" t="s">
        <v>343</v>
      </c>
      <c r="W72" t="s">
        <v>216</v>
      </c>
      <c r="X72" t="s">
        <v>1334</v>
      </c>
      <c r="Y72" s="22"/>
      <c r="Z72" t="s">
        <v>584</v>
      </c>
      <c r="AA72" s="15"/>
      <c r="AB72" t="s">
        <v>14</v>
      </c>
      <c r="AC72" s="22" t="s">
        <v>14</v>
      </c>
      <c r="AD72" t="s">
        <v>16</v>
      </c>
      <c r="AE72">
        <v>223</v>
      </c>
      <c r="AF72" s="22"/>
      <c r="AG72" t="s">
        <v>13</v>
      </c>
      <c r="AH72" t="s">
        <v>13</v>
      </c>
      <c r="AI72" s="22" t="s">
        <v>13</v>
      </c>
      <c r="AJ72">
        <v>5254492</v>
      </c>
      <c r="AK72" t="s">
        <v>13</v>
      </c>
      <c r="AL72" t="s">
        <v>116</v>
      </c>
      <c r="AM72" t="s">
        <v>117</v>
      </c>
      <c r="AN72" t="s">
        <v>13</v>
      </c>
      <c r="AO72" s="14" t="s">
        <v>13</v>
      </c>
      <c r="AP72"/>
      <c r="AQ72" s="16"/>
      <c r="AR72" s="14"/>
      <c r="AS72" s="17" t="s">
        <v>697</v>
      </c>
      <c r="AT72" s="17" t="s">
        <v>698</v>
      </c>
      <c r="AU72" t="s">
        <v>13</v>
      </c>
      <c r="AV72" s="51" t="s">
        <v>13</v>
      </c>
      <c r="AW72" s="16" t="s">
        <v>46</v>
      </c>
      <c r="AX72" t="s">
        <v>200</v>
      </c>
      <c r="AY72" t="s">
        <v>201</v>
      </c>
      <c r="AZ72" t="s">
        <v>699</v>
      </c>
      <c r="BA72" t="s">
        <v>46</v>
      </c>
      <c r="BB72" s="10" t="s">
        <v>700</v>
      </c>
      <c r="BC72" s="10" t="s">
        <v>701</v>
      </c>
      <c r="BD72" t="s">
        <v>23</v>
      </c>
      <c r="BE72"/>
      <c r="BF72" s="22" t="s">
        <v>13</v>
      </c>
      <c r="BG72" s="14" t="s">
        <v>27</v>
      </c>
      <c r="BH72" s="24"/>
      <c r="BI72" s="47"/>
      <c r="BJ72" s="47"/>
      <c r="BK72" s="47"/>
    </row>
    <row r="73" spans="1:63" ht="85.6">
      <c r="A73" t="s">
        <v>1278</v>
      </c>
      <c r="I73" s="23" t="s">
        <v>194</v>
      </c>
      <c r="J73" t="s">
        <v>19</v>
      </c>
      <c r="K73" t="s">
        <v>1261</v>
      </c>
      <c r="L73" t="s">
        <v>1261</v>
      </c>
      <c r="M73" s="14" t="s">
        <v>196</v>
      </c>
      <c r="N73" t="s">
        <v>1288</v>
      </c>
      <c r="O73" s="21"/>
      <c r="P73" s="17" t="s">
        <v>185</v>
      </c>
      <c r="Q73" s="11"/>
      <c r="R73" s="10" t="s">
        <v>9</v>
      </c>
      <c r="S73">
        <v>2010</v>
      </c>
      <c r="T73">
        <v>7</v>
      </c>
      <c r="U73" t="s">
        <v>638</v>
      </c>
      <c r="V73" t="s">
        <v>343</v>
      </c>
      <c r="W73" t="s">
        <v>216</v>
      </c>
      <c r="X73" t="s">
        <v>1334</v>
      </c>
      <c r="Y73" s="22"/>
      <c r="Z73" t="s">
        <v>584</v>
      </c>
      <c r="AA73" s="15"/>
      <c r="AB73" t="s">
        <v>14</v>
      </c>
      <c r="AC73" s="22" t="s">
        <v>14</v>
      </c>
      <c r="AD73" t="s">
        <v>16</v>
      </c>
      <c r="AE73">
        <v>134</v>
      </c>
      <c r="AF73" s="22"/>
      <c r="AG73" t="s">
        <v>13</v>
      </c>
      <c r="AH73" t="s">
        <v>13</v>
      </c>
      <c r="AI73" s="22" t="s">
        <v>13</v>
      </c>
      <c r="AJ73">
        <v>4826823</v>
      </c>
      <c r="AK73" t="s">
        <v>13</v>
      </c>
      <c r="AL73" t="s">
        <v>116</v>
      </c>
      <c r="AM73" t="s">
        <v>117</v>
      </c>
      <c r="AN73" t="s">
        <v>13</v>
      </c>
      <c r="AO73" s="14" t="s">
        <v>13</v>
      </c>
      <c r="AP73"/>
      <c r="AQ73" s="16"/>
      <c r="AR73" s="14"/>
      <c r="AS73" s="17" t="s">
        <v>697</v>
      </c>
      <c r="AT73" s="17" t="s">
        <v>698</v>
      </c>
      <c r="AU73" t="s">
        <v>13</v>
      </c>
      <c r="AV73" s="14" t="s">
        <v>13</v>
      </c>
      <c r="AW73" s="16" t="s">
        <v>46</v>
      </c>
      <c r="AX73" t="s">
        <v>200</v>
      </c>
      <c r="AY73" t="s">
        <v>201</v>
      </c>
      <c r="AZ73" t="s">
        <v>699</v>
      </c>
      <c r="BA73" t="s">
        <v>46</v>
      </c>
      <c r="BB73" s="10" t="s">
        <v>700</v>
      </c>
      <c r="BC73" s="10" t="s">
        <v>701</v>
      </c>
      <c r="BD73" t="s">
        <v>23</v>
      </c>
      <c r="BE73"/>
      <c r="BF73" s="22" t="s">
        <v>13</v>
      </c>
      <c r="BG73" s="14" t="s">
        <v>27</v>
      </c>
      <c r="BH73" s="24"/>
      <c r="BI73" s="47"/>
      <c r="BJ73" s="47"/>
      <c r="BK73" s="47"/>
    </row>
    <row r="74" spans="1:63" ht="116.15">
      <c r="A74" t="s">
        <v>670</v>
      </c>
      <c r="B74" s="10" t="s">
        <v>671</v>
      </c>
      <c r="C74" t="s">
        <v>672</v>
      </c>
      <c r="D74">
        <v>2020</v>
      </c>
      <c r="E74" t="s">
        <v>181</v>
      </c>
      <c r="F74" s="10" t="s">
        <v>182</v>
      </c>
      <c r="G74" s="10" t="s">
        <v>129</v>
      </c>
      <c r="H74" s="50" t="s">
        <v>673</v>
      </c>
      <c r="I74" s="23" t="s">
        <v>18</v>
      </c>
      <c r="J74" t="s">
        <v>19</v>
      </c>
      <c r="K74" t="s">
        <v>644</v>
      </c>
      <c r="L74" t="s">
        <v>644</v>
      </c>
      <c r="M74" s="14" t="s">
        <v>196</v>
      </c>
      <c r="N74" t="s">
        <v>1288</v>
      </c>
      <c r="O74" s="21" t="s">
        <v>674</v>
      </c>
      <c r="P74" s="17" t="s">
        <v>185</v>
      </c>
      <c r="Q74" s="11" t="s">
        <v>675</v>
      </c>
      <c r="R74" s="10" t="s">
        <v>9</v>
      </c>
      <c r="S74">
        <v>2008</v>
      </c>
      <c r="T74">
        <v>8</v>
      </c>
      <c r="U74" t="s">
        <v>638</v>
      </c>
      <c r="V74" t="s">
        <v>343</v>
      </c>
      <c r="W74" t="s">
        <v>216</v>
      </c>
      <c r="X74" t="s">
        <v>1334</v>
      </c>
      <c r="Y74" s="22"/>
      <c r="Z74" t="s">
        <v>1304</v>
      </c>
      <c r="AA74" s="15"/>
      <c r="AB74" t="s">
        <v>14</v>
      </c>
      <c r="AC74" s="22" t="s">
        <v>14</v>
      </c>
      <c r="AD74" t="s">
        <v>16</v>
      </c>
      <c r="AE74">
        <v>164</v>
      </c>
      <c r="AF74" s="22">
        <v>164</v>
      </c>
      <c r="AG74" t="s">
        <v>13</v>
      </c>
      <c r="AH74">
        <v>2733286</v>
      </c>
      <c r="AI74" s="22" t="s">
        <v>676</v>
      </c>
      <c r="AJ74">
        <v>4573584</v>
      </c>
      <c r="AK74">
        <v>1673247</v>
      </c>
      <c r="AL74" t="s">
        <v>116</v>
      </c>
      <c r="AM74" t="s">
        <v>117</v>
      </c>
      <c r="AN74" t="s">
        <v>13</v>
      </c>
      <c r="AO74" s="14" t="s">
        <v>13</v>
      </c>
      <c r="AP74"/>
      <c r="AQ74" s="16" t="s">
        <v>23</v>
      </c>
      <c r="AR74" s="14" t="s">
        <v>13</v>
      </c>
      <c r="AS74" s="17" t="s">
        <v>677</v>
      </c>
      <c r="AT74" s="17" t="s">
        <v>678</v>
      </c>
      <c r="AU74" t="s">
        <v>13</v>
      </c>
      <c r="AV74" s="27" t="s">
        <v>679</v>
      </c>
      <c r="AW74" s="16" t="s">
        <v>46</v>
      </c>
      <c r="AX74" t="s">
        <v>200</v>
      </c>
      <c r="AY74" t="s">
        <v>201</v>
      </c>
      <c r="AZ74" t="s">
        <v>202</v>
      </c>
      <c r="BA74" t="s">
        <v>23</v>
      </c>
      <c r="BB74" s="10" t="s">
        <v>13</v>
      </c>
      <c r="BC74" s="10" t="s">
        <v>13</v>
      </c>
      <c r="BD74" t="s">
        <v>23</v>
      </c>
      <c r="BE74"/>
      <c r="BF74" s="22" t="s">
        <v>13</v>
      </c>
      <c r="BG74" s="14" t="s">
        <v>27</v>
      </c>
      <c r="BH74" s="24" t="s">
        <v>680</v>
      </c>
      <c r="BI74" s="47" t="s">
        <v>681</v>
      </c>
      <c r="BJ74" s="47" t="s">
        <v>682</v>
      </c>
      <c r="BK74" s="47" t="s">
        <v>683</v>
      </c>
    </row>
    <row r="75" spans="1:63" ht="193.6">
      <c r="A75" t="s">
        <v>1066</v>
      </c>
      <c r="B75" s="50" t="s">
        <v>1067</v>
      </c>
      <c r="C75" s="51" t="s">
        <v>1068</v>
      </c>
      <c r="D75">
        <v>2023</v>
      </c>
      <c r="E75" t="s">
        <v>1069</v>
      </c>
      <c r="F75" s="10" t="s">
        <v>158</v>
      </c>
      <c r="G75" s="10" t="s">
        <v>60</v>
      </c>
      <c r="H75" s="20" t="s">
        <v>1070</v>
      </c>
      <c r="I75" s="23" t="s">
        <v>18</v>
      </c>
      <c r="J75" t="s">
        <v>19</v>
      </c>
      <c r="K75" t="s">
        <v>1261</v>
      </c>
      <c r="L75" t="s">
        <v>1261</v>
      </c>
      <c r="M75" s="14" t="s">
        <v>196</v>
      </c>
      <c r="N75" t="s">
        <v>1288</v>
      </c>
      <c r="O75" s="21" t="s">
        <v>1071</v>
      </c>
      <c r="P75" s="50" t="s">
        <v>185</v>
      </c>
      <c r="Q75" s="11" t="s">
        <v>1072</v>
      </c>
      <c r="R75" s="10" t="s">
        <v>9</v>
      </c>
      <c r="S75">
        <v>2010</v>
      </c>
      <c r="T75" s="10">
        <v>7</v>
      </c>
      <c r="U75" s="10" t="s">
        <v>342</v>
      </c>
      <c r="V75" s="10" t="s">
        <v>343</v>
      </c>
      <c r="W75" t="s">
        <v>216</v>
      </c>
      <c r="X75" t="s">
        <v>1334</v>
      </c>
      <c r="Y75" s="13" t="s">
        <v>1073</v>
      </c>
      <c r="Z75" t="s">
        <v>13</v>
      </c>
      <c r="AA75" s="15"/>
      <c r="AB75" t="s">
        <v>14</v>
      </c>
      <c r="AC75" s="22" t="s">
        <v>1074</v>
      </c>
      <c r="AD75" t="s">
        <v>16</v>
      </c>
      <c r="AE75">
        <v>116</v>
      </c>
      <c r="AF75" s="22">
        <v>116</v>
      </c>
      <c r="AG75" t="s">
        <v>13</v>
      </c>
      <c r="AH75" t="s">
        <v>13</v>
      </c>
      <c r="AI75" s="22" t="s">
        <v>1075</v>
      </c>
      <c r="AK75">
        <v>1623567</v>
      </c>
      <c r="AL75" t="s">
        <v>116</v>
      </c>
      <c r="AM75" t="s">
        <v>117</v>
      </c>
      <c r="AN75" t="s">
        <v>13</v>
      </c>
      <c r="AO75" s="14" t="s">
        <v>13</v>
      </c>
      <c r="AP75"/>
      <c r="AQ75" s="16" t="s">
        <v>23</v>
      </c>
      <c r="AR75" s="14" t="s">
        <v>13</v>
      </c>
      <c r="AS75" s="17" t="s">
        <v>13</v>
      </c>
      <c r="AT75" s="17" t="s">
        <v>13</v>
      </c>
      <c r="AU75" t="s">
        <v>13</v>
      </c>
      <c r="AV75" s="14" t="s">
        <v>13</v>
      </c>
      <c r="AW75" s="16" t="s">
        <v>46</v>
      </c>
      <c r="AX75" t="s">
        <v>200</v>
      </c>
      <c r="AY75" t="s">
        <v>201</v>
      </c>
      <c r="AZ75" t="s">
        <v>699</v>
      </c>
      <c r="BA75" t="s">
        <v>46</v>
      </c>
      <c r="BB75" s="10" t="s">
        <v>1076</v>
      </c>
      <c r="BC75" s="10" t="s">
        <v>1077</v>
      </c>
      <c r="BD75" t="s">
        <v>46</v>
      </c>
      <c r="BE75"/>
      <c r="BF75" s="22" t="s">
        <v>1078</v>
      </c>
      <c r="BG75" s="14" t="s">
        <v>27</v>
      </c>
      <c r="BH75" s="24"/>
      <c r="BI75" s="47" t="s">
        <v>1079</v>
      </c>
      <c r="BJ75" s="47" t="s">
        <v>1080</v>
      </c>
      <c r="BK75" s="47">
        <v>0</v>
      </c>
    </row>
    <row r="76" spans="1:63" ht="28.55">
      <c r="A76" t="s">
        <v>831</v>
      </c>
      <c r="B76" s="10" t="s">
        <v>832</v>
      </c>
      <c r="C76" t="s">
        <v>833</v>
      </c>
      <c r="D76">
        <v>2020</v>
      </c>
      <c r="E76" t="s">
        <v>834</v>
      </c>
      <c r="F76" s="10" t="s">
        <v>756</v>
      </c>
      <c r="G76" s="10" t="s">
        <v>60</v>
      </c>
      <c r="H76" s="14" t="s">
        <v>835</v>
      </c>
      <c r="I76" s="23" t="s">
        <v>843</v>
      </c>
      <c r="J76" t="s">
        <v>19</v>
      </c>
      <c r="K76" t="s">
        <v>844</v>
      </c>
      <c r="L76" t="s">
        <v>1286</v>
      </c>
      <c r="M76" s="14" t="s">
        <v>168</v>
      </c>
      <c r="N76" t="s">
        <v>1289</v>
      </c>
      <c r="O76" s="21" t="s">
        <v>836</v>
      </c>
      <c r="P76" s="10" t="s">
        <v>837</v>
      </c>
      <c r="Q76" s="11" t="s">
        <v>838</v>
      </c>
      <c r="R76" s="10" t="s">
        <v>9</v>
      </c>
      <c r="S76">
        <v>2016</v>
      </c>
      <c r="T76">
        <v>1</v>
      </c>
      <c r="U76" t="s">
        <v>822</v>
      </c>
      <c r="V76" t="s">
        <v>343</v>
      </c>
      <c r="W76" t="s">
        <v>216</v>
      </c>
      <c r="X76" t="s">
        <v>1334</v>
      </c>
      <c r="Y76" s="22"/>
      <c r="Z76" t="s">
        <v>13</v>
      </c>
      <c r="AA76" s="15"/>
      <c r="AB76" t="s">
        <v>165</v>
      </c>
      <c r="AC76" s="22" t="s">
        <v>839</v>
      </c>
      <c r="AD76" t="s">
        <v>16</v>
      </c>
      <c r="AE76" t="s">
        <v>840</v>
      </c>
      <c r="AF76" s="22" t="s">
        <v>841</v>
      </c>
      <c r="AG76" t="s">
        <v>13</v>
      </c>
      <c r="AH76" t="s">
        <v>1402</v>
      </c>
      <c r="AI76" s="22" t="s">
        <v>842</v>
      </c>
      <c r="AJ76" t="s">
        <v>13</v>
      </c>
      <c r="AK76" t="s">
        <v>13</v>
      </c>
      <c r="AL76" t="s">
        <v>116</v>
      </c>
      <c r="AM76" t="s">
        <v>117</v>
      </c>
      <c r="AN76" t="s">
        <v>13</v>
      </c>
      <c r="AO76" s="14" t="s">
        <v>13</v>
      </c>
      <c r="AP76"/>
      <c r="AQ76" s="16" t="s">
        <v>23</v>
      </c>
      <c r="AR76" s="14" t="s">
        <v>13</v>
      </c>
      <c r="AS76" s="17" t="s">
        <v>845</v>
      </c>
      <c r="AT76" s="17" t="s">
        <v>846</v>
      </c>
      <c r="AU76" t="s">
        <v>13</v>
      </c>
      <c r="AV76" s="14" t="s">
        <v>13</v>
      </c>
      <c r="AW76" s="16" t="s">
        <v>23</v>
      </c>
      <c r="AX76" t="s">
        <v>13</v>
      </c>
      <c r="AY76" t="s">
        <v>13</v>
      </c>
      <c r="AZ76" t="s">
        <v>13</v>
      </c>
      <c r="BA76" t="s">
        <v>13</v>
      </c>
      <c r="BB76" t="s">
        <v>13</v>
      </c>
      <c r="BC76" t="s">
        <v>13</v>
      </c>
      <c r="BD76" t="s">
        <v>13</v>
      </c>
      <c r="BE76"/>
      <c r="BF76" s="22" t="s">
        <v>13</v>
      </c>
      <c r="BG76" s="14" t="s">
        <v>69</v>
      </c>
      <c r="BH76" s="24" t="s">
        <v>847</v>
      </c>
      <c r="BI76" s="19" t="s">
        <v>848</v>
      </c>
      <c r="BJ76" s="19" t="s">
        <v>849</v>
      </c>
      <c r="BK76" s="19" t="s">
        <v>850</v>
      </c>
    </row>
    <row r="77" spans="1:63" ht="28.55">
      <c r="A77" t="s">
        <v>1280</v>
      </c>
      <c r="H77" s="14"/>
      <c r="I77" s="23"/>
      <c r="J77" t="s">
        <v>19</v>
      </c>
      <c r="K77" t="s">
        <v>1317</v>
      </c>
      <c r="L77" t="s">
        <v>1317</v>
      </c>
      <c r="M77" s="14" t="s">
        <v>168</v>
      </c>
      <c r="N77" t="s">
        <v>1289</v>
      </c>
      <c r="O77" s="21"/>
      <c r="P77" s="10"/>
      <c r="Q77" s="11"/>
      <c r="R77" s="10" t="s">
        <v>9</v>
      </c>
      <c r="S77">
        <v>2016</v>
      </c>
      <c r="T77">
        <v>1</v>
      </c>
      <c r="U77" t="s">
        <v>822</v>
      </c>
      <c r="V77" t="s">
        <v>343</v>
      </c>
      <c r="W77" t="s">
        <v>216</v>
      </c>
      <c r="X77" t="s">
        <v>1334</v>
      </c>
      <c r="Y77" s="22"/>
      <c r="Z77" t="s">
        <v>13</v>
      </c>
      <c r="AA77" s="15"/>
      <c r="AB77" t="s">
        <v>165</v>
      </c>
      <c r="AC77" s="22" t="s">
        <v>839</v>
      </c>
      <c r="AD77" t="s">
        <v>16</v>
      </c>
      <c r="AE77">
        <v>82</v>
      </c>
      <c r="AF77" s="22"/>
      <c r="AG77" t="s">
        <v>13</v>
      </c>
      <c r="AH77">
        <v>736</v>
      </c>
      <c r="AJ77" t="s">
        <v>13</v>
      </c>
      <c r="AK77" t="s">
        <v>13</v>
      </c>
      <c r="AL77" t="s">
        <v>116</v>
      </c>
      <c r="AM77" t="s">
        <v>117</v>
      </c>
      <c r="AN77" t="s">
        <v>13</v>
      </c>
      <c r="AO77" s="14" t="s">
        <v>13</v>
      </c>
      <c r="AP77"/>
      <c r="AQ77" s="16" t="s">
        <v>23</v>
      </c>
      <c r="AR77" s="14" t="s">
        <v>13</v>
      </c>
      <c r="AS77" s="17" t="s">
        <v>845</v>
      </c>
      <c r="AT77" s="17" t="s">
        <v>846</v>
      </c>
      <c r="AU77" t="s">
        <v>13</v>
      </c>
      <c r="AV77" s="14" t="s">
        <v>13</v>
      </c>
      <c r="AW77" s="16" t="s">
        <v>23</v>
      </c>
      <c r="AX77" t="s">
        <v>13</v>
      </c>
      <c r="AY77" t="s">
        <v>13</v>
      </c>
      <c r="AZ77" t="s">
        <v>13</v>
      </c>
      <c r="BA77" t="s">
        <v>13</v>
      </c>
      <c r="BB77" t="s">
        <v>13</v>
      </c>
      <c r="BC77" t="s">
        <v>13</v>
      </c>
      <c r="BD77" t="s">
        <v>13</v>
      </c>
      <c r="BE77"/>
      <c r="BF77" s="22" t="s">
        <v>13</v>
      </c>
      <c r="BG77" s="14"/>
      <c r="BH77" s="24"/>
      <c r="BI77" s="19"/>
      <c r="BJ77" s="19"/>
      <c r="BK77" s="19"/>
    </row>
    <row r="78" spans="1:63" ht="28.55">
      <c r="A78" t="s">
        <v>1279</v>
      </c>
      <c r="H78" s="14"/>
      <c r="I78" s="23"/>
      <c r="J78" t="s">
        <v>19</v>
      </c>
      <c r="K78" t="s">
        <v>1281</v>
      </c>
      <c r="L78" t="s">
        <v>1281</v>
      </c>
      <c r="M78" s="14" t="s">
        <v>168</v>
      </c>
      <c r="N78" t="s">
        <v>1289</v>
      </c>
      <c r="O78" s="21"/>
      <c r="P78" s="10"/>
      <c r="Q78" s="11"/>
      <c r="R78" s="10" t="s">
        <v>9</v>
      </c>
      <c r="S78">
        <v>2016</v>
      </c>
      <c r="T78">
        <v>1</v>
      </c>
      <c r="U78" t="s">
        <v>822</v>
      </c>
      <c r="V78" t="s">
        <v>343</v>
      </c>
      <c r="W78" t="s">
        <v>216</v>
      </c>
      <c r="X78" t="s">
        <v>1334</v>
      </c>
      <c r="Y78" s="22"/>
      <c r="Z78" t="s">
        <v>13</v>
      </c>
      <c r="AA78" s="15"/>
      <c r="AB78" t="s">
        <v>165</v>
      </c>
      <c r="AC78" s="22" t="s">
        <v>839</v>
      </c>
      <c r="AD78" t="s">
        <v>16</v>
      </c>
      <c r="AE78">
        <v>46</v>
      </c>
      <c r="AF78" s="22"/>
      <c r="AG78" t="s">
        <v>13</v>
      </c>
      <c r="AH78">
        <v>600</v>
      </c>
      <c r="AJ78" t="s">
        <v>13</v>
      </c>
      <c r="AK78" t="s">
        <v>13</v>
      </c>
      <c r="AL78" t="s">
        <v>116</v>
      </c>
      <c r="AM78" t="s">
        <v>117</v>
      </c>
      <c r="AN78" t="s">
        <v>13</v>
      </c>
      <c r="AO78" s="14" t="s">
        <v>13</v>
      </c>
      <c r="AP78"/>
      <c r="AQ78" s="16" t="s">
        <v>23</v>
      </c>
      <c r="AR78" s="14" t="s">
        <v>13</v>
      </c>
      <c r="AS78" s="17" t="s">
        <v>845</v>
      </c>
      <c r="AT78" s="17" t="s">
        <v>846</v>
      </c>
      <c r="AU78" t="s">
        <v>13</v>
      </c>
      <c r="AV78" s="14" t="s">
        <v>13</v>
      </c>
      <c r="AW78" s="16" t="s">
        <v>23</v>
      </c>
      <c r="AX78" t="s">
        <v>13</v>
      </c>
      <c r="AY78" t="s">
        <v>13</v>
      </c>
      <c r="AZ78" t="s">
        <v>13</v>
      </c>
      <c r="BA78" t="s">
        <v>13</v>
      </c>
      <c r="BB78" t="s">
        <v>13</v>
      </c>
      <c r="BC78" t="s">
        <v>13</v>
      </c>
      <c r="BD78" t="s">
        <v>13</v>
      </c>
      <c r="BE78"/>
      <c r="BF78" s="22" t="s">
        <v>13</v>
      </c>
      <c r="BG78" s="14"/>
      <c r="BH78" s="24"/>
      <c r="BI78" s="19"/>
      <c r="BJ78" s="19"/>
      <c r="BK78" s="19"/>
    </row>
    <row r="79" spans="1:63" ht="85.6">
      <c r="A79" t="s">
        <v>530</v>
      </c>
      <c r="B79" s="10" t="s">
        <v>531</v>
      </c>
      <c r="C79" t="s">
        <v>532</v>
      </c>
      <c r="D79">
        <v>2016</v>
      </c>
      <c r="E79" t="s">
        <v>157</v>
      </c>
      <c r="F79" s="10" t="s">
        <v>158</v>
      </c>
      <c r="G79" s="10" t="s">
        <v>60</v>
      </c>
      <c r="H79" s="20" t="s">
        <v>533</v>
      </c>
      <c r="I79" s="23" t="s">
        <v>540</v>
      </c>
      <c r="J79" t="s">
        <v>19</v>
      </c>
      <c r="K79" t="s">
        <v>541</v>
      </c>
      <c r="L79" t="s">
        <v>541</v>
      </c>
      <c r="M79" s="14" t="s">
        <v>168</v>
      </c>
      <c r="N79" t="s">
        <v>1289</v>
      </c>
      <c r="O79" s="21" t="s">
        <v>534</v>
      </c>
      <c r="P79" s="10" t="s">
        <v>535</v>
      </c>
      <c r="Q79" s="11" t="s">
        <v>536</v>
      </c>
      <c r="R79" s="10" t="s">
        <v>9</v>
      </c>
      <c r="S79">
        <v>2013</v>
      </c>
      <c r="T79" t="s">
        <v>537</v>
      </c>
      <c r="U79" t="s">
        <v>538</v>
      </c>
      <c r="V79" s="10" t="s">
        <v>11</v>
      </c>
      <c r="W79" t="s">
        <v>216</v>
      </c>
      <c r="X79" t="s">
        <v>1332</v>
      </c>
      <c r="Y79" t="s">
        <v>1336</v>
      </c>
      <c r="Z79" t="s">
        <v>1304</v>
      </c>
      <c r="AA79" s="15"/>
      <c r="AB79" t="s">
        <v>14</v>
      </c>
      <c r="AC79" s="22" t="s">
        <v>539</v>
      </c>
      <c r="AD79" t="s">
        <v>16</v>
      </c>
      <c r="AE79">
        <v>185</v>
      </c>
      <c r="AF79" s="22">
        <v>185</v>
      </c>
      <c r="AG79" t="s">
        <v>13</v>
      </c>
      <c r="AH79" t="s">
        <v>13</v>
      </c>
      <c r="AI79" s="22" t="s">
        <v>13</v>
      </c>
      <c r="AK79" t="s">
        <v>13</v>
      </c>
      <c r="AL79" t="s">
        <v>116</v>
      </c>
      <c r="AM79" t="s">
        <v>117</v>
      </c>
      <c r="AN79" t="s">
        <v>13</v>
      </c>
      <c r="AO79" s="14" t="s">
        <v>13</v>
      </c>
      <c r="AP79"/>
      <c r="AQ79" s="16" t="s">
        <v>13</v>
      </c>
      <c r="AR79" s="14" t="s">
        <v>13</v>
      </c>
      <c r="AS79" s="17" t="s">
        <v>542</v>
      </c>
      <c r="AT79" s="17" t="s">
        <v>543</v>
      </c>
      <c r="AU79" t="s">
        <v>544</v>
      </c>
      <c r="AV79" s="14" t="s">
        <v>13</v>
      </c>
      <c r="AW79" s="16" t="s">
        <v>23</v>
      </c>
      <c r="AX79" t="s">
        <v>13</v>
      </c>
      <c r="AY79" t="s">
        <v>13</v>
      </c>
      <c r="AZ79" t="s">
        <v>13</v>
      </c>
      <c r="BA79" t="s">
        <v>13</v>
      </c>
      <c r="BB79" t="s">
        <v>13</v>
      </c>
      <c r="BC79" t="s">
        <v>13</v>
      </c>
      <c r="BD79" t="s">
        <v>13</v>
      </c>
      <c r="BE79"/>
      <c r="BF79" s="22" t="s">
        <v>13</v>
      </c>
      <c r="BG79" s="14" t="s">
        <v>27</v>
      </c>
      <c r="BH79" s="24"/>
      <c r="BI79" t="s">
        <v>545</v>
      </c>
      <c r="BJ79" t="s">
        <v>546</v>
      </c>
      <c r="BK79" t="s">
        <v>547</v>
      </c>
    </row>
    <row r="80" spans="1:63" ht="71.349999999999994">
      <c r="A80" t="s">
        <v>548</v>
      </c>
      <c r="B80" s="10" t="s">
        <v>549</v>
      </c>
      <c r="C80" t="s">
        <v>550</v>
      </c>
      <c r="D80">
        <v>2018</v>
      </c>
      <c r="E80" t="s">
        <v>157</v>
      </c>
      <c r="F80" s="10" t="s">
        <v>158</v>
      </c>
      <c r="G80" s="10" t="s">
        <v>60</v>
      </c>
      <c r="H80" s="20" t="s">
        <v>551</v>
      </c>
      <c r="I80" s="23" t="s">
        <v>540</v>
      </c>
      <c r="J80" t="s">
        <v>19</v>
      </c>
      <c r="K80" t="s">
        <v>541</v>
      </c>
      <c r="L80" t="s">
        <v>541</v>
      </c>
      <c r="M80" s="14" t="s">
        <v>168</v>
      </c>
      <c r="N80" t="s">
        <v>1289</v>
      </c>
      <c r="O80" s="21" t="s">
        <v>534</v>
      </c>
      <c r="P80" s="10" t="s">
        <v>535</v>
      </c>
      <c r="Q80" s="11" t="s">
        <v>536</v>
      </c>
      <c r="R80" s="10" t="s">
        <v>9</v>
      </c>
      <c r="S80">
        <v>2013</v>
      </c>
      <c r="T80">
        <v>2</v>
      </c>
      <c r="U80" t="s">
        <v>538</v>
      </c>
      <c r="V80" s="10" t="s">
        <v>11</v>
      </c>
      <c r="W80" t="s">
        <v>216</v>
      </c>
      <c r="X80" t="s">
        <v>1332</v>
      </c>
      <c r="Y80" t="s">
        <v>1336</v>
      </c>
      <c r="Z80" t="s">
        <v>503</v>
      </c>
      <c r="AA80" s="15"/>
      <c r="AB80" t="s">
        <v>14</v>
      </c>
      <c r="AC80" s="22" t="s">
        <v>539</v>
      </c>
      <c r="AD80" t="s">
        <v>16</v>
      </c>
      <c r="AE80">
        <v>22</v>
      </c>
      <c r="AF80" s="22" t="s">
        <v>552</v>
      </c>
      <c r="AG80" t="s">
        <v>13</v>
      </c>
      <c r="AH80" t="s">
        <v>13</v>
      </c>
      <c r="AI80" s="22" t="s">
        <v>13</v>
      </c>
      <c r="AK80" t="s">
        <v>13</v>
      </c>
      <c r="AL80" t="s">
        <v>116</v>
      </c>
      <c r="AM80" t="s">
        <v>117</v>
      </c>
      <c r="AN80" t="s">
        <v>13</v>
      </c>
      <c r="AO80" s="14" t="s">
        <v>13</v>
      </c>
      <c r="AP80"/>
      <c r="AQ80" s="16" t="s">
        <v>13</v>
      </c>
      <c r="AR80" s="14" t="s">
        <v>13</v>
      </c>
      <c r="AS80" s="17" t="s">
        <v>553</v>
      </c>
      <c r="AT80" s="17" t="s">
        <v>554</v>
      </c>
      <c r="AU80" s="36" t="s">
        <v>555</v>
      </c>
      <c r="AV80" s="14" t="s">
        <v>556</v>
      </c>
      <c r="AW80" s="16" t="s">
        <v>23</v>
      </c>
      <c r="AX80" t="s">
        <v>13</v>
      </c>
      <c r="AY80" t="s">
        <v>13</v>
      </c>
      <c r="AZ80" t="s">
        <v>13</v>
      </c>
      <c r="BA80" t="s">
        <v>13</v>
      </c>
      <c r="BB80" t="s">
        <v>13</v>
      </c>
      <c r="BC80" t="s">
        <v>13</v>
      </c>
      <c r="BD80" t="s">
        <v>13</v>
      </c>
      <c r="BE80"/>
      <c r="BF80" s="22" t="s">
        <v>13</v>
      </c>
      <c r="BG80" s="14" t="s">
        <v>27</v>
      </c>
      <c r="BH80" s="24"/>
      <c r="BI80" t="s">
        <v>557</v>
      </c>
      <c r="BJ80" t="s">
        <v>558</v>
      </c>
      <c r="BK80" t="s">
        <v>559</v>
      </c>
    </row>
    <row r="81" spans="1:63" ht="57.1">
      <c r="A81" t="s">
        <v>269</v>
      </c>
      <c r="B81" s="10" t="s">
        <v>270</v>
      </c>
      <c r="C81" t="s">
        <v>271</v>
      </c>
      <c r="D81">
        <v>2019</v>
      </c>
      <c r="E81" t="s">
        <v>272</v>
      </c>
      <c r="F81" s="10" t="s">
        <v>273</v>
      </c>
      <c r="G81" s="10" t="s">
        <v>60</v>
      </c>
      <c r="H81" s="20" t="s">
        <v>274</v>
      </c>
      <c r="I81" s="23" t="s">
        <v>277</v>
      </c>
      <c r="J81" t="s">
        <v>19</v>
      </c>
      <c r="K81" t="s">
        <v>1312</v>
      </c>
      <c r="L81" t="s">
        <v>1343</v>
      </c>
      <c r="M81" s="14" t="s">
        <v>168</v>
      </c>
      <c r="N81" t="s">
        <v>1289</v>
      </c>
      <c r="O81" s="21" t="s">
        <v>275</v>
      </c>
      <c r="P81" s="10" t="s">
        <v>248</v>
      </c>
      <c r="Q81" s="11" t="s">
        <v>276</v>
      </c>
      <c r="R81" s="10" t="s">
        <v>9</v>
      </c>
      <c r="S81">
        <v>2005</v>
      </c>
      <c r="T81">
        <v>7</v>
      </c>
      <c r="U81" t="s">
        <v>252</v>
      </c>
      <c r="V81" t="s">
        <v>11</v>
      </c>
      <c r="W81" t="s">
        <v>12</v>
      </c>
      <c r="Y81" s="22"/>
      <c r="Z81" t="s">
        <v>13</v>
      </c>
      <c r="AA81" s="15"/>
      <c r="AB81" t="s">
        <v>14</v>
      </c>
      <c r="AC81" s="22" t="s">
        <v>254</v>
      </c>
      <c r="AD81" t="s">
        <v>16</v>
      </c>
      <c r="AE81">
        <v>385</v>
      </c>
      <c r="AF81" s="22">
        <v>385</v>
      </c>
      <c r="AG81" t="s">
        <v>13</v>
      </c>
      <c r="AH81">
        <v>532925</v>
      </c>
      <c r="AI81" s="22">
        <v>532925</v>
      </c>
      <c r="AL81" t="s">
        <v>116</v>
      </c>
      <c r="AM81" t="s">
        <v>278</v>
      </c>
      <c r="AN81" t="s">
        <v>44</v>
      </c>
      <c r="AO81" s="14" t="s">
        <v>13</v>
      </c>
      <c r="AP81"/>
      <c r="AQ81" s="16" t="s">
        <v>23</v>
      </c>
      <c r="AR81" s="14" t="s">
        <v>13</v>
      </c>
      <c r="AS81" s="17" t="s">
        <v>279</v>
      </c>
      <c r="AT81" s="17" t="s">
        <v>280</v>
      </c>
      <c r="AU81" t="s">
        <v>281</v>
      </c>
      <c r="AV81" s="14" t="s">
        <v>13</v>
      </c>
      <c r="AW81" s="16" t="s">
        <v>23</v>
      </c>
      <c r="AX81" t="s">
        <v>13</v>
      </c>
      <c r="AY81" t="s">
        <v>13</v>
      </c>
      <c r="AZ81" t="s">
        <v>13</v>
      </c>
      <c r="BA81" t="s">
        <v>13</v>
      </c>
      <c r="BB81" t="s">
        <v>13</v>
      </c>
      <c r="BC81" t="s">
        <v>13</v>
      </c>
      <c r="BD81" t="s">
        <v>13</v>
      </c>
      <c r="BE81"/>
      <c r="BF81" s="22" t="s">
        <v>13</v>
      </c>
      <c r="BG81" s="14" t="s">
        <v>69</v>
      </c>
      <c r="BH81" s="24"/>
      <c r="BI81" s="19">
        <v>0</v>
      </c>
      <c r="BJ81" s="19">
        <v>0</v>
      </c>
      <c r="BK81" s="19">
        <v>0</v>
      </c>
    </row>
    <row r="82" spans="1:63" ht="57.1">
      <c r="A82" t="s">
        <v>282</v>
      </c>
      <c r="B82" s="10" t="s">
        <v>283</v>
      </c>
      <c r="C82" t="s">
        <v>284</v>
      </c>
      <c r="D82">
        <v>2015</v>
      </c>
      <c r="E82" t="s">
        <v>272</v>
      </c>
      <c r="F82" s="10" t="s">
        <v>273</v>
      </c>
      <c r="G82" s="10" t="s">
        <v>60</v>
      </c>
      <c r="H82" s="20" t="s">
        <v>285</v>
      </c>
      <c r="I82" s="23" t="s">
        <v>277</v>
      </c>
      <c r="J82" t="s">
        <v>19</v>
      </c>
      <c r="K82" s="10" t="s">
        <v>1312</v>
      </c>
      <c r="L82" t="s">
        <v>1343</v>
      </c>
      <c r="M82" s="14" t="s">
        <v>168</v>
      </c>
      <c r="N82" t="s">
        <v>1289</v>
      </c>
      <c r="O82" s="52" t="s">
        <v>286</v>
      </c>
      <c r="P82" s="10" t="s">
        <v>248</v>
      </c>
      <c r="Q82" s="21" t="s">
        <v>287</v>
      </c>
      <c r="R82" s="10" t="s">
        <v>9</v>
      </c>
      <c r="S82">
        <v>2005</v>
      </c>
      <c r="T82" s="10">
        <v>7</v>
      </c>
      <c r="U82" t="s">
        <v>252</v>
      </c>
      <c r="V82" t="s">
        <v>11</v>
      </c>
      <c r="W82" t="s">
        <v>12</v>
      </c>
      <c r="Y82" s="13"/>
      <c r="Z82" t="s">
        <v>13</v>
      </c>
      <c r="AA82" s="15"/>
      <c r="AB82" t="s">
        <v>14</v>
      </c>
      <c r="AC82" s="22" t="s">
        <v>254</v>
      </c>
      <c r="AD82" t="s">
        <v>16</v>
      </c>
      <c r="AE82">
        <v>408</v>
      </c>
      <c r="AF82" s="22">
        <v>408</v>
      </c>
      <c r="AG82" t="s">
        <v>13</v>
      </c>
      <c r="AH82">
        <v>2752639</v>
      </c>
      <c r="AI82" s="22">
        <v>2752639</v>
      </c>
      <c r="AK82" s="10" t="s">
        <v>288</v>
      </c>
      <c r="AL82" t="s">
        <v>21</v>
      </c>
      <c r="AM82" t="s">
        <v>13</v>
      </c>
      <c r="AN82" t="s">
        <v>13</v>
      </c>
      <c r="AO82" s="14" t="s">
        <v>289</v>
      </c>
      <c r="AP82" t="s">
        <v>290</v>
      </c>
      <c r="AQ82" s="16" t="s">
        <v>23</v>
      </c>
      <c r="AR82" s="14" t="s">
        <v>13</v>
      </c>
      <c r="AS82" s="17" t="s">
        <v>291</v>
      </c>
      <c r="AT82" s="17" t="s">
        <v>292</v>
      </c>
      <c r="AU82" t="s">
        <v>293</v>
      </c>
      <c r="AV82" s="14"/>
      <c r="AW82" s="16" t="s">
        <v>23</v>
      </c>
      <c r="AX82" t="s">
        <v>13</v>
      </c>
      <c r="AY82" t="s">
        <v>13</v>
      </c>
      <c r="AZ82" t="s">
        <v>13</v>
      </c>
      <c r="BA82" t="s">
        <v>13</v>
      </c>
      <c r="BB82" t="s">
        <v>13</v>
      </c>
      <c r="BC82" t="s">
        <v>13</v>
      </c>
      <c r="BD82" t="s">
        <v>13</v>
      </c>
      <c r="BE82"/>
      <c r="BF82" s="22" t="s">
        <v>13</v>
      </c>
      <c r="BG82" s="14" t="s">
        <v>69</v>
      </c>
      <c r="BH82" s="24"/>
      <c r="BI82" s="19">
        <v>0</v>
      </c>
      <c r="BJ82" s="19">
        <v>0</v>
      </c>
      <c r="BK82" s="19">
        <v>0</v>
      </c>
    </row>
    <row r="83" spans="1:63" ht="46.9" customHeight="1">
      <c r="A83" t="s">
        <v>1023</v>
      </c>
      <c r="B83" s="42" t="s">
        <v>1024</v>
      </c>
      <c r="C83" t="s">
        <v>1025</v>
      </c>
      <c r="D83">
        <v>2015</v>
      </c>
      <c r="E83" t="s">
        <v>1026</v>
      </c>
      <c r="F83" s="10" t="s">
        <v>1027</v>
      </c>
      <c r="G83" s="10" t="s">
        <v>60</v>
      </c>
      <c r="H83" s="20" t="s">
        <v>1028</v>
      </c>
      <c r="I83" s="23" t="s">
        <v>18</v>
      </c>
      <c r="J83" t="s">
        <v>19</v>
      </c>
      <c r="K83" s="10" t="s">
        <v>1324</v>
      </c>
      <c r="L83" s="10" t="s">
        <v>1324</v>
      </c>
      <c r="M83" s="14" t="s">
        <v>168</v>
      </c>
      <c r="N83" t="s">
        <v>1289</v>
      </c>
      <c r="O83" s="43" t="s">
        <v>1029</v>
      </c>
      <c r="P83" s="10"/>
      <c r="Q83" s="52" t="s">
        <v>1030</v>
      </c>
      <c r="R83" s="10" t="s">
        <v>858</v>
      </c>
      <c r="S83" t="s">
        <v>13</v>
      </c>
      <c r="T83" t="s">
        <v>1031</v>
      </c>
      <c r="U83" s="10" t="s">
        <v>342</v>
      </c>
      <c r="V83" t="s">
        <v>343</v>
      </c>
      <c r="W83" t="s">
        <v>12</v>
      </c>
      <c r="Y83" s="22"/>
      <c r="Z83" t="s">
        <v>13</v>
      </c>
      <c r="AA83" s="15"/>
      <c r="AB83" t="s">
        <v>165</v>
      </c>
      <c r="AC83" s="22" t="s">
        <v>1032</v>
      </c>
      <c r="AD83" t="s">
        <v>16</v>
      </c>
      <c r="AE83">
        <v>102</v>
      </c>
      <c r="AF83" s="22" t="s">
        <v>1033</v>
      </c>
      <c r="AG83" t="s">
        <v>13</v>
      </c>
      <c r="AH83" t="s">
        <v>13</v>
      </c>
      <c r="AI83" s="22" t="s">
        <v>13</v>
      </c>
      <c r="AJ83" t="s">
        <v>13</v>
      </c>
      <c r="AK83" t="s">
        <v>13</v>
      </c>
      <c r="AL83" t="s">
        <v>116</v>
      </c>
      <c r="AM83" t="s">
        <v>117</v>
      </c>
      <c r="AN83" t="s">
        <v>13</v>
      </c>
      <c r="AO83" s="14" t="s">
        <v>13</v>
      </c>
      <c r="AP83"/>
      <c r="AQ83" s="16" t="s">
        <v>23</v>
      </c>
      <c r="AR83" s="14" t="s">
        <v>13</v>
      </c>
      <c r="AS83" s="17" t="s">
        <v>13</v>
      </c>
      <c r="AT83" s="17" t="s">
        <v>13</v>
      </c>
      <c r="AU83" t="s">
        <v>13</v>
      </c>
      <c r="AV83" s="14" t="s">
        <v>13</v>
      </c>
      <c r="AW83" s="16" t="s">
        <v>46</v>
      </c>
      <c r="AX83" t="s">
        <v>262</v>
      </c>
      <c r="AY83" t="s">
        <v>263</v>
      </c>
      <c r="AZ83" t="s">
        <v>1428</v>
      </c>
      <c r="BA83" t="s">
        <v>46</v>
      </c>
      <c r="BB83" s="10" t="s">
        <v>1034</v>
      </c>
      <c r="BC83" s="10" t="s">
        <v>1020</v>
      </c>
      <c r="BD83" t="s">
        <v>46</v>
      </c>
      <c r="BE83"/>
      <c r="BF83" s="22" t="s">
        <v>1035</v>
      </c>
      <c r="BG83" s="14" t="s">
        <v>27</v>
      </c>
      <c r="BH83" s="24" t="s">
        <v>1036</v>
      </c>
      <c r="BI83" s="10" t="s">
        <v>1420</v>
      </c>
      <c r="BJ83" s="10" t="s">
        <v>1421</v>
      </c>
      <c r="BK83" s="10" t="s">
        <v>1422</v>
      </c>
    </row>
    <row r="84" spans="1:63" ht="81.7" customHeight="1">
      <c r="A84" t="s">
        <v>772</v>
      </c>
      <c r="B84" s="10" t="s">
        <v>773</v>
      </c>
      <c r="C84" t="s">
        <v>774</v>
      </c>
      <c r="D84">
        <v>2015</v>
      </c>
      <c r="E84" t="s">
        <v>775</v>
      </c>
      <c r="F84" s="10" t="s">
        <v>392</v>
      </c>
      <c r="G84" s="10" t="s">
        <v>60</v>
      </c>
      <c r="H84" s="20" t="s">
        <v>776</v>
      </c>
      <c r="I84" s="23" t="s">
        <v>784</v>
      </c>
      <c r="J84" t="s">
        <v>19</v>
      </c>
      <c r="K84" t="s">
        <v>1322</v>
      </c>
      <c r="L84" t="s">
        <v>1307</v>
      </c>
      <c r="M84" s="14" t="s">
        <v>766</v>
      </c>
      <c r="N84" t="s">
        <v>1291</v>
      </c>
      <c r="O84" s="21" t="s">
        <v>777</v>
      </c>
      <c r="P84" s="17" t="s">
        <v>778</v>
      </c>
      <c r="Q84" s="11" t="s">
        <v>779</v>
      </c>
      <c r="R84" s="10" t="s">
        <v>9</v>
      </c>
      <c r="S84">
        <v>2004</v>
      </c>
      <c r="T84">
        <v>5</v>
      </c>
      <c r="U84" t="s">
        <v>780</v>
      </c>
      <c r="V84" t="s">
        <v>343</v>
      </c>
      <c r="W84" t="s">
        <v>216</v>
      </c>
      <c r="X84" t="s">
        <v>1332</v>
      </c>
      <c r="Y84" s="22" t="s">
        <v>1337</v>
      </c>
      <c r="Z84" t="s">
        <v>1304</v>
      </c>
      <c r="AA84" s="15"/>
      <c r="AB84" t="s">
        <v>14</v>
      </c>
      <c r="AC84" s="22" t="s">
        <v>781</v>
      </c>
      <c r="AD84" t="s">
        <v>16</v>
      </c>
      <c r="AE84" t="s">
        <v>13</v>
      </c>
      <c r="AF84" s="22" t="s">
        <v>13</v>
      </c>
      <c r="AG84" t="s">
        <v>13</v>
      </c>
      <c r="AH84" t="s">
        <v>13</v>
      </c>
      <c r="AI84" s="22" t="s">
        <v>1309</v>
      </c>
      <c r="AJ84" t="s">
        <v>782</v>
      </c>
      <c r="AK84" t="s">
        <v>783</v>
      </c>
      <c r="AL84" t="s">
        <v>116</v>
      </c>
      <c r="AM84" t="s">
        <v>117</v>
      </c>
      <c r="AN84" t="s">
        <v>13</v>
      </c>
      <c r="AO84" s="14" t="s">
        <v>13</v>
      </c>
      <c r="AP84"/>
      <c r="AQ84" s="16" t="s">
        <v>23</v>
      </c>
      <c r="AR84" s="14" t="s">
        <v>13</v>
      </c>
      <c r="AS84" s="17" t="s">
        <v>785</v>
      </c>
      <c r="AT84" s="17" t="s">
        <v>13</v>
      </c>
      <c r="AU84" t="s">
        <v>13</v>
      </c>
      <c r="AV84" s="14" t="s">
        <v>13</v>
      </c>
      <c r="AW84" s="16" t="s">
        <v>23</v>
      </c>
      <c r="AX84" t="s">
        <v>13</v>
      </c>
      <c r="AY84" t="s">
        <v>13</v>
      </c>
      <c r="AZ84" t="s">
        <v>13</v>
      </c>
      <c r="BA84" t="s">
        <v>13</v>
      </c>
      <c r="BB84" t="s">
        <v>13</v>
      </c>
      <c r="BC84" t="s">
        <v>13</v>
      </c>
      <c r="BD84" t="s">
        <v>13</v>
      </c>
      <c r="BE84"/>
      <c r="BF84" s="22" t="s">
        <v>13</v>
      </c>
      <c r="BG84" s="14" t="s">
        <v>27</v>
      </c>
      <c r="BH84" s="24" t="s">
        <v>786</v>
      </c>
      <c r="BI84" s="25" t="s">
        <v>787</v>
      </c>
      <c r="BJ84" s="25" t="s">
        <v>788</v>
      </c>
      <c r="BK84" s="25" t="s">
        <v>789</v>
      </c>
    </row>
    <row r="85" spans="1:63" ht="156.9">
      <c r="A85" t="s">
        <v>1139</v>
      </c>
      <c r="B85" s="10" t="s">
        <v>1140</v>
      </c>
      <c r="C85" t="s">
        <v>1141</v>
      </c>
      <c r="D85">
        <v>2021</v>
      </c>
      <c r="E85" t="s">
        <v>181</v>
      </c>
      <c r="F85" s="10" t="s">
        <v>182</v>
      </c>
      <c r="G85" s="10" t="s">
        <v>129</v>
      </c>
      <c r="H85" s="20" t="s">
        <v>1142</v>
      </c>
      <c r="I85" s="11" t="s">
        <v>258</v>
      </c>
      <c r="J85" s="10" t="s">
        <v>325</v>
      </c>
      <c r="K85" s="10" t="s">
        <v>1150</v>
      </c>
      <c r="L85" t="s">
        <v>1286</v>
      </c>
      <c r="M85" s="14" t="s">
        <v>1151</v>
      </c>
      <c r="N85" t="s">
        <v>13</v>
      </c>
      <c r="O85" s="21" t="s">
        <v>1143</v>
      </c>
      <c r="P85" s="10" t="s">
        <v>1144</v>
      </c>
      <c r="Q85" s="11" t="s">
        <v>1145</v>
      </c>
      <c r="R85" s="10" t="s">
        <v>321</v>
      </c>
      <c r="S85" s="10" t="s">
        <v>1146</v>
      </c>
      <c r="T85" s="10" t="s">
        <v>1147</v>
      </c>
      <c r="U85" s="10" t="s">
        <v>822</v>
      </c>
      <c r="V85" s="10" t="s">
        <v>343</v>
      </c>
      <c r="W85" t="s">
        <v>12</v>
      </c>
      <c r="Y85" s="55"/>
      <c r="Z85" t="s">
        <v>13</v>
      </c>
      <c r="AA85" s="15"/>
      <c r="AB85" t="s">
        <v>14</v>
      </c>
      <c r="AC85" s="22" t="s">
        <v>14</v>
      </c>
      <c r="AD85" t="s">
        <v>323</v>
      </c>
      <c r="AE85"/>
      <c r="AF85" s="22">
        <v>5</v>
      </c>
      <c r="AG85" s="10"/>
      <c r="AH85" t="s">
        <v>13</v>
      </c>
      <c r="AI85" s="22" t="s">
        <v>13</v>
      </c>
      <c r="AJ85" s="10" t="s">
        <v>1148</v>
      </c>
      <c r="AK85" s="10" t="s">
        <v>1149</v>
      </c>
      <c r="AL85" t="s">
        <v>116</v>
      </c>
      <c r="AM85" t="s">
        <v>117</v>
      </c>
      <c r="AN85" t="s">
        <v>13</v>
      </c>
      <c r="AO85" s="14" t="s">
        <v>13</v>
      </c>
      <c r="AP85"/>
      <c r="AQ85" s="16" t="s">
        <v>23</v>
      </c>
      <c r="AR85" s="14" t="s">
        <v>13</v>
      </c>
      <c r="AS85" s="50" t="s">
        <v>1152</v>
      </c>
      <c r="AT85" s="50" t="s">
        <v>1153</v>
      </c>
      <c r="AU85" t="s">
        <v>13</v>
      </c>
      <c r="AV85" s="14" t="s">
        <v>13</v>
      </c>
      <c r="AW85" s="16" t="s">
        <v>46</v>
      </c>
      <c r="AX85" t="s">
        <v>262</v>
      </c>
      <c r="AY85" t="s">
        <v>263</v>
      </c>
      <c r="AZ85" t="s">
        <v>699</v>
      </c>
      <c r="BA85" t="s">
        <v>46</v>
      </c>
      <c r="BB85" s="10" t="s">
        <v>1154</v>
      </c>
      <c r="BC85" s="10" t="s">
        <v>1020</v>
      </c>
      <c r="BD85" t="s">
        <v>23</v>
      </c>
      <c r="BE85"/>
      <c r="BF85" s="22" t="s">
        <v>13</v>
      </c>
      <c r="BG85" s="14" t="s">
        <v>27</v>
      </c>
      <c r="BH85" s="24" t="s">
        <v>1155</v>
      </c>
      <c r="BI85" s="47" t="s">
        <v>1156</v>
      </c>
      <c r="BJ85" s="47" t="s">
        <v>1157</v>
      </c>
      <c r="BK85" s="47" t="s">
        <v>1158</v>
      </c>
    </row>
    <row r="86" spans="1:63" ht="42.8">
      <c r="A86" t="s">
        <v>1300</v>
      </c>
      <c r="I86" s="23"/>
      <c r="J86" s="10" t="s">
        <v>325</v>
      </c>
      <c r="K86" t="s">
        <v>1318</v>
      </c>
      <c r="L86" t="s">
        <v>1318</v>
      </c>
      <c r="M86" s="14" t="s">
        <v>196</v>
      </c>
      <c r="N86" t="s">
        <v>1288</v>
      </c>
      <c r="O86" s="21"/>
      <c r="P86" s="10" t="s">
        <v>1144</v>
      </c>
      <c r="Q86" s="11"/>
      <c r="R86" s="10" t="s">
        <v>321</v>
      </c>
      <c r="S86" s="10">
        <v>2016</v>
      </c>
      <c r="T86" s="10">
        <v>1</v>
      </c>
      <c r="U86" s="10" t="s">
        <v>822</v>
      </c>
      <c r="V86" s="10" t="s">
        <v>343</v>
      </c>
      <c r="W86" t="s">
        <v>12</v>
      </c>
      <c r="Y86" s="13"/>
      <c r="Z86" t="s">
        <v>13</v>
      </c>
      <c r="AA86" s="15"/>
      <c r="AB86" t="s">
        <v>14</v>
      </c>
      <c r="AC86" s="22" t="s">
        <v>14</v>
      </c>
      <c r="AD86" t="s">
        <v>323</v>
      </c>
      <c r="AE86">
        <v>1</v>
      </c>
      <c r="AF86" s="22"/>
      <c r="AG86" s="10">
        <v>58</v>
      </c>
      <c r="AH86" t="s">
        <v>13</v>
      </c>
      <c r="AJ86">
        <v>841221</v>
      </c>
      <c r="AK86">
        <v>416751</v>
      </c>
      <c r="AL86" t="s">
        <v>116</v>
      </c>
      <c r="AM86" t="s">
        <v>117</v>
      </c>
      <c r="AN86" t="s">
        <v>13</v>
      </c>
      <c r="AO86" s="14" t="s">
        <v>13</v>
      </c>
      <c r="AP86"/>
      <c r="AQ86" s="16" t="s">
        <v>23</v>
      </c>
      <c r="AR86" s="14" t="s">
        <v>13</v>
      </c>
      <c r="AS86" s="17" t="s">
        <v>1152</v>
      </c>
      <c r="AT86" s="17" t="s">
        <v>1153</v>
      </c>
      <c r="AU86" t="s">
        <v>13</v>
      </c>
      <c r="AV86" s="14" t="s">
        <v>13</v>
      </c>
      <c r="AW86" s="16" t="s">
        <v>23</v>
      </c>
      <c r="AX86" t="s">
        <v>13</v>
      </c>
      <c r="AY86" t="s">
        <v>13</v>
      </c>
      <c r="AZ86" t="s">
        <v>13</v>
      </c>
      <c r="BA86" t="s">
        <v>13</v>
      </c>
      <c r="BB86" t="s">
        <v>13</v>
      </c>
      <c r="BC86" t="s">
        <v>13</v>
      </c>
      <c r="BD86" t="s">
        <v>23</v>
      </c>
      <c r="BE86"/>
      <c r="BF86" s="22" t="s">
        <v>13</v>
      </c>
      <c r="BG86" s="14"/>
      <c r="BH86" s="24"/>
      <c r="BI86" s="47"/>
      <c r="BJ86" s="47"/>
      <c r="BK86" s="47"/>
    </row>
    <row r="87" spans="1:63" ht="157.6" thickBot="1">
      <c r="A87" t="s">
        <v>1302</v>
      </c>
      <c r="I87" s="23"/>
      <c r="J87" s="10" t="s">
        <v>325</v>
      </c>
      <c r="K87" t="s">
        <v>1319</v>
      </c>
      <c r="L87" t="s">
        <v>1319</v>
      </c>
      <c r="M87" s="14" t="s">
        <v>196</v>
      </c>
      <c r="N87" t="s">
        <v>1288</v>
      </c>
      <c r="O87" s="21"/>
      <c r="P87" s="10" t="s">
        <v>1144</v>
      </c>
      <c r="Q87" s="11"/>
      <c r="R87" s="10" t="s">
        <v>321</v>
      </c>
      <c r="S87" s="10">
        <v>2017</v>
      </c>
      <c r="T87" s="10">
        <v>1</v>
      </c>
      <c r="U87" s="10" t="s">
        <v>822</v>
      </c>
      <c r="V87" s="10" t="s">
        <v>343</v>
      </c>
      <c r="W87" t="s">
        <v>12</v>
      </c>
      <c r="Y87" s="13"/>
      <c r="Z87" t="s">
        <v>13</v>
      </c>
      <c r="AA87" s="15"/>
      <c r="AB87" t="s">
        <v>14</v>
      </c>
      <c r="AC87" s="22" t="s">
        <v>14</v>
      </c>
      <c r="AD87" t="s">
        <v>323</v>
      </c>
      <c r="AE87">
        <v>1</v>
      </c>
      <c r="AF87" s="22"/>
      <c r="AG87" s="10">
        <v>58</v>
      </c>
      <c r="AH87" t="s">
        <v>13</v>
      </c>
      <c r="AJ87">
        <v>47279</v>
      </c>
      <c r="AK87">
        <v>32863</v>
      </c>
      <c r="AL87" t="s">
        <v>116</v>
      </c>
      <c r="AM87" t="s">
        <v>117</v>
      </c>
      <c r="AN87" t="s">
        <v>13</v>
      </c>
      <c r="AO87" s="14" t="s">
        <v>13</v>
      </c>
      <c r="AP87"/>
      <c r="AQ87" s="16" t="s">
        <v>23</v>
      </c>
      <c r="AR87" s="14" t="s">
        <v>13</v>
      </c>
      <c r="AS87" s="17" t="s">
        <v>1152</v>
      </c>
      <c r="AT87" s="17" t="s">
        <v>1153</v>
      </c>
      <c r="AU87" t="s">
        <v>13</v>
      </c>
      <c r="AV87" s="14" t="s">
        <v>13</v>
      </c>
      <c r="AW87" s="16" t="s">
        <v>46</v>
      </c>
      <c r="AX87" t="s">
        <v>262</v>
      </c>
      <c r="AY87" t="s">
        <v>263</v>
      </c>
      <c r="AZ87" t="s">
        <v>699</v>
      </c>
      <c r="BA87" t="s">
        <v>46</v>
      </c>
      <c r="BB87" s="10" t="s">
        <v>1154</v>
      </c>
      <c r="BC87" s="10" t="s">
        <v>1020</v>
      </c>
      <c r="BD87" t="s">
        <v>23</v>
      </c>
      <c r="BE87"/>
      <c r="BF87" s="22" t="s">
        <v>13</v>
      </c>
      <c r="BG87" s="14"/>
      <c r="BH87" s="24"/>
      <c r="BI87" s="47"/>
      <c r="BJ87" s="47"/>
      <c r="BK87" s="47"/>
    </row>
    <row r="88" spans="1:63" ht="43.5" thickBot="1">
      <c r="A88" t="s">
        <v>1301</v>
      </c>
      <c r="B88" s="2"/>
      <c r="C88" s="1"/>
      <c r="I88" s="23"/>
      <c r="J88" s="10" t="s">
        <v>325</v>
      </c>
      <c r="K88" t="s">
        <v>1316</v>
      </c>
      <c r="L88" t="s">
        <v>1316</v>
      </c>
      <c r="M88" s="14" t="s">
        <v>1283</v>
      </c>
      <c r="N88" t="s">
        <v>1290</v>
      </c>
      <c r="O88" s="21"/>
      <c r="P88" s="17" t="s">
        <v>1144</v>
      </c>
      <c r="Q88" s="11"/>
      <c r="R88" s="10" t="s">
        <v>321</v>
      </c>
      <c r="S88" s="10">
        <v>2012</v>
      </c>
      <c r="T88" s="10">
        <v>6</v>
      </c>
      <c r="U88" s="10" t="s">
        <v>822</v>
      </c>
      <c r="V88" s="10" t="s">
        <v>343</v>
      </c>
      <c r="W88" t="s">
        <v>12</v>
      </c>
      <c r="Y88" s="13"/>
      <c r="Z88" t="s">
        <v>13</v>
      </c>
      <c r="AA88" s="15"/>
      <c r="AB88" t="s">
        <v>14</v>
      </c>
      <c r="AC88" s="22" t="s">
        <v>14</v>
      </c>
      <c r="AD88" t="s">
        <v>323</v>
      </c>
      <c r="AE88">
        <v>1</v>
      </c>
      <c r="AF88" s="22"/>
      <c r="AG88" s="10">
        <v>26</v>
      </c>
      <c r="AH88" t="s">
        <v>13</v>
      </c>
      <c r="AJ88">
        <v>202524</v>
      </c>
      <c r="AK88">
        <v>17410</v>
      </c>
      <c r="AL88" t="s">
        <v>116</v>
      </c>
      <c r="AM88" t="s">
        <v>117</v>
      </c>
      <c r="AN88" t="s">
        <v>13</v>
      </c>
      <c r="AO88" s="14" t="s">
        <v>13</v>
      </c>
      <c r="AP88"/>
      <c r="AQ88" s="16" t="s">
        <v>23</v>
      </c>
      <c r="AR88" s="14" t="s">
        <v>13</v>
      </c>
      <c r="AS88" s="10" t="s">
        <v>1152</v>
      </c>
      <c r="AT88" s="10" t="s">
        <v>1153</v>
      </c>
      <c r="AU88" t="s">
        <v>13</v>
      </c>
      <c r="AV88" s="14" t="s">
        <v>13</v>
      </c>
      <c r="AW88" s="16" t="s">
        <v>23</v>
      </c>
      <c r="AX88" t="s">
        <v>13</v>
      </c>
      <c r="AY88" t="s">
        <v>13</v>
      </c>
      <c r="AZ88" t="s">
        <v>13</v>
      </c>
      <c r="BA88" t="s">
        <v>13</v>
      </c>
      <c r="BB88" t="s">
        <v>13</v>
      </c>
      <c r="BC88" t="s">
        <v>13</v>
      </c>
      <c r="BD88" t="s">
        <v>23</v>
      </c>
      <c r="BE88"/>
      <c r="BF88" s="22" t="s">
        <v>13</v>
      </c>
      <c r="BG88" s="14"/>
      <c r="BH88" s="24"/>
      <c r="BI88" s="47"/>
      <c r="BJ88" s="47"/>
      <c r="BK88" s="47"/>
    </row>
    <row r="89" spans="1:63" ht="149.94999999999999" customHeight="1">
      <c r="A89" t="s">
        <v>1299</v>
      </c>
      <c r="I89" s="23"/>
      <c r="J89" s="10" t="s">
        <v>325</v>
      </c>
      <c r="K89" t="s">
        <v>1320</v>
      </c>
      <c r="L89" t="s">
        <v>1320</v>
      </c>
      <c r="M89" s="14" t="s">
        <v>1282</v>
      </c>
      <c r="N89" t="s">
        <v>1288</v>
      </c>
      <c r="O89" s="21"/>
      <c r="P89" s="10" t="s">
        <v>1144</v>
      </c>
      <c r="Q89" s="11"/>
      <c r="R89" s="10" t="s">
        <v>321</v>
      </c>
      <c r="S89" s="10">
        <v>2016</v>
      </c>
      <c r="T89" s="10">
        <v>1.08</v>
      </c>
      <c r="U89" s="10" t="s">
        <v>822</v>
      </c>
      <c r="V89" s="10" t="s">
        <v>343</v>
      </c>
      <c r="W89" t="s">
        <v>12</v>
      </c>
      <c r="Y89" s="13"/>
      <c r="Z89" t="s">
        <v>13</v>
      </c>
      <c r="AA89" s="15"/>
      <c r="AB89" t="s">
        <v>14</v>
      </c>
      <c r="AC89" s="22" t="s">
        <v>14</v>
      </c>
      <c r="AD89" t="s">
        <v>323</v>
      </c>
      <c r="AE89">
        <v>1</v>
      </c>
      <c r="AF89" s="22"/>
      <c r="AG89" s="10">
        <v>36</v>
      </c>
      <c r="AH89" t="s">
        <v>13</v>
      </c>
      <c r="AJ89">
        <v>37227</v>
      </c>
      <c r="AK89">
        <v>26724</v>
      </c>
      <c r="AL89" t="s">
        <v>116</v>
      </c>
      <c r="AM89" t="s">
        <v>117</v>
      </c>
      <c r="AN89" t="s">
        <v>13</v>
      </c>
      <c r="AO89" s="14" t="s">
        <v>13</v>
      </c>
      <c r="AP89"/>
      <c r="AQ89" s="16" t="s">
        <v>23</v>
      </c>
      <c r="AR89" s="14" t="s">
        <v>13</v>
      </c>
      <c r="AS89" s="17" t="s">
        <v>1152</v>
      </c>
      <c r="AT89" s="17" t="s">
        <v>1153</v>
      </c>
      <c r="AU89" t="s">
        <v>13</v>
      </c>
      <c r="AV89" s="14" t="s">
        <v>13</v>
      </c>
      <c r="AW89" s="16" t="s">
        <v>46</v>
      </c>
      <c r="AX89" t="s">
        <v>262</v>
      </c>
      <c r="AY89" t="s">
        <v>263</v>
      </c>
      <c r="AZ89" t="s">
        <v>699</v>
      </c>
      <c r="BA89" t="s">
        <v>46</v>
      </c>
      <c r="BB89" s="10" t="s">
        <v>1154</v>
      </c>
      <c r="BC89" s="10" t="s">
        <v>1020</v>
      </c>
      <c r="BD89" t="s">
        <v>23</v>
      </c>
      <c r="BE89"/>
      <c r="BF89" s="22" t="s">
        <v>13</v>
      </c>
      <c r="BG89" s="14"/>
      <c r="BH89" s="24"/>
      <c r="BI89" s="47"/>
      <c r="BJ89" s="47"/>
      <c r="BK89" s="47"/>
    </row>
    <row r="90" spans="1:63" ht="36" customHeight="1">
      <c r="A90" t="s">
        <v>1298</v>
      </c>
      <c r="I90" s="23"/>
      <c r="J90" s="10" t="s">
        <v>325</v>
      </c>
      <c r="K90" t="s">
        <v>1321</v>
      </c>
      <c r="L90" t="s">
        <v>1321</v>
      </c>
      <c r="M90" s="14" t="s">
        <v>732</v>
      </c>
      <c r="N90" s="51" t="s">
        <v>1288</v>
      </c>
      <c r="O90" s="21"/>
      <c r="P90" s="10" t="s">
        <v>1144</v>
      </c>
      <c r="Q90" s="11"/>
      <c r="R90" s="10" t="s">
        <v>321</v>
      </c>
      <c r="S90" s="10">
        <v>2014</v>
      </c>
      <c r="T90" s="10">
        <v>4</v>
      </c>
      <c r="U90" s="10" t="s">
        <v>822</v>
      </c>
      <c r="V90" s="10" t="s">
        <v>343</v>
      </c>
      <c r="W90" t="s">
        <v>12</v>
      </c>
      <c r="Y90" s="13"/>
      <c r="Z90" t="s">
        <v>13</v>
      </c>
      <c r="AA90" s="15"/>
      <c r="AB90" t="s">
        <v>14</v>
      </c>
      <c r="AC90" s="22" t="s">
        <v>14</v>
      </c>
      <c r="AD90" t="s">
        <v>323</v>
      </c>
      <c r="AE90">
        <v>1</v>
      </c>
      <c r="AF90" s="22"/>
      <c r="AG90" s="10">
        <v>61</v>
      </c>
      <c r="AH90" t="s">
        <v>13</v>
      </c>
      <c r="AJ90">
        <v>326064</v>
      </c>
      <c r="AK90">
        <v>30823</v>
      </c>
      <c r="AL90" t="s">
        <v>116</v>
      </c>
      <c r="AM90" t="s">
        <v>117</v>
      </c>
      <c r="AN90" t="s">
        <v>13</v>
      </c>
      <c r="AO90" s="14" t="s">
        <v>13</v>
      </c>
      <c r="AP90" s="51"/>
      <c r="AQ90" s="16" t="s">
        <v>23</v>
      </c>
      <c r="AR90" s="14" t="s">
        <v>13</v>
      </c>
      <c r="AS90" s="17" t="s">
        <v>1152</v>
      </c>
      <c r="AT90" s="17" t="s">
        <v>1153</v>
      </c>
      <c r="AU90" s="51" t="s">
        <v>13</v>
      </c>
      <c r="AV90" s="14" t="s">
        <v>13</v>
      </c>
      <c r="AW90" s="16" t="s">
        <v>23</v>
      </c>
      <c r="AX90" t="s">
        <v>13</v>
      </c>
      <c r="AY90" t="s">
        <v>13</v>
      </c>
      <c r="AZ90" t="s">
        <v>13</v>
      </c>
      <c r="BA90" t="s">
        <v>13</v>
      </c>
      <c r="BB90" t="s">
        <v>13</v>
      </c>
      <c r="BC90" t="s">
        <v>13</v>
      </c>
      <c r="BD90" t="s">
        <v>23</v>
      </c>
      <c r="BE90"/>
      <c r="BF90" s="22" t="s">
        <v>13</v>
      </c>
      <c r="BG90" s="14"/>
      <c r="BH90" s="24"/>
      <c r="BI90" s="47"/>
      <c r="BJ90" s="47"/>
      <c r="BK90" s="47"/>
    </row>
    <row r="91" spans="1:63" ht="36" customHeight="1">
      <c r="A91" t="s">
        <v>512</v>
      </c>
      <c r="B91" s="10" t="s">
        <v>513</v>
      </c>
      <c r="C91" t="s">
        <v>514</v>
      </c>
      <c r="D91">
        <v>2020</v>
      </c>
      <c r="E91" t="s">
        <v>515</v>
      </c>
      <c r="F91" s="10" t="s">
        <v>516</v>
      </c>
      <c r="G91" s="10" t="s">
        <v>338</v>
      </c>
      <c r="H91" s="20" t="s">
        <v>517</v>
      </c>
      <c r="I91" s="23" t="s">
        <v>18</v>
      </c>
      <c r="J91" t="s">
        <v>19</v>
      </c>
      <c r="K91" t="s">
        <v>1330</v>
      </c>
      <c r="L91" t="s">
        <v>1330</v>
      </c>
      <c r="M91" s="14" t="s">
        <v>524</v>
      </c>
      <c r="N91" t="s">
        <v>1290</v>
      </c>
      <c r="O91" s="21" t="s">
        <v>518</v>
      </c>
      <c r="P91" s="10" t="s">
        <v>519</v>
      </c>
      <c r="Q91" s="11" t="s">
        <v>520</v>
      </c>
      <c r="R91" s="10" t="s">
        <v>9</v>
      </c>
      <c r="S91">
        <v>2009</v>
      </c>
      <c r="T91" s="10">
        <v>3</v>
      </c>
      <c r="U91" s="10" t="s">
        <v>521</v>
      </c>
      <c r="V91" s="10" t="s">
        <v>11</v>
      </c>
      <c r="W91" t="s">
        <v>216</v>
      </c>
      <c r="X91" t="s">
        <v>1332</v>
      </c>
      <c r="Y91" s="13"/>
      <c r="Z91" t="s">
        <v>522</v>
      </c>
      <c r="AA91" s="15"/>
      <c r="AB91" t="s">
        <v>14</v>
      </c>
      <c r="AC91" s="22" t="s">
        <v>523</v>
      </c>
      <c r="AD91" t="s">
        <v>16</v>
      </c>
      <c r="AE91">
        <v>1500</v>
      </c>
      <c r="AF91" s="22">
        <v>1500</v>
      </c>
      <c r="AG91" t="s">
        <v>13</v>
      </c>
      <c r="AH91">
        <v>64076</v>
      </c>
      <c r="AI91" s="22">
        <v>64076</v>
      </c>
      <c r="AJ91">
        <v>3079434</v>
      </c>
      <c r="AK91" t="s">
        <v>13</v>
      </c>
      <c r="AL91" t="s">
        <v>116</v>
      </c>
      <c r="AM91" t="s">
        <v>117</v>
      </c>
      <c r="AN91" t="s">
        <v>13</v>
      </c>
      <c r="AO91" s="14" t="s">
        <v>13</v>
      </c>
      <c r="AP91"/>
      <c r="AQ91" s="16" t="s">
        <v>23</v>
      </c>
      <c r="AR91" s="14" t="s">
        <v>13</v>
      </c>
      <c r="AS91" s="17" t="s">
        <v>525</v>
      </c>
      <c r="AT91" s="17" t="s">
        <v>526</v>
      </c>
      <c r="AU91" t="s">
        <v>13</v>
      </c>
      <c r="AV91" s="14" t="s">
        <v>13</v>
      </c>
      <c r="AW91" s="16" t="s">
        <v>23</v>
      </c>
      <c r="AX91" t="s">
        <v>13</v>
      </c>
      <c r="AY91" t="s">
        <v>13</v>
      </c>
      <c r="AZ91" t="s">
        <v>13</v>
      </c>
      <c r="BA91" t="s">
        <v>13</v>
      </c>
      <c r="BB91" t="s">
        <v>13</v>
      </c>
      <c r="BC91" t="s">
        <v>13</v>
      </c>
      <c r="BD91" t="s">
        <v>13</v>
      </c>
      <c r="BE91"/>
      <c r="BF91" s="22" t="s">
        <v>13</v>
      </c>
      <c r="BG91" s="14" t="s">
        <v>27</v>
      </c>
      <c r="BH91" s="24"/>
      <c r="BI91" t="s">
        <v>527</v>
      </c>
      <c r="BJ91" t="s">
        <v>528</v>
      </c>
      <c r="BK91" t="s">
        <v>529</v>
      </c>
    </row>
    <row r="92" spans="1:63" ht="36" customHeight="1">
      <c r="A92" t="s">
        <v>706</v>
      </c>
      <c r="B92" s="10" t="s">
        <v>707</v>
      </c>
      <c r="C92" t="s">
        <v>708</v>
      </c>
      <c r="D92">
        <v>2021</v>
      </c>
      <c r="E92" t="s">
        <v>226</v>
      </c>
      <c r="F92" s="10" t="s">
        <v>212</v>
      </c>
      <c r="G92" s="10" t="s">
        <v>212</v>
      </c>
      <c r="H92" s="20" t="s">
        <v>709</v>
      </c>
      <c r="I92" s="23" t="s">
        <v>714</v>
      </c>
      <c r="J92" t="s">
        <v>325</v>
      </c>
      <c r="K92" t="s">
        <v>715</v>
      </c>
      <c r="L92" t="s">
        <v>715</v>
      </c>
      <c r="M92" s="14" t="s">
        <v>715</v>
      </c>
      <c r="N92" t="s">
        <v>1290</v>
      </c>
      <c r="O92" s="21" t="s">
        <v>710</v>
      </c>
      <c r="P92" s="10" t="s">
        <v>710</v>
      </c>
      <c r="Q92" s="11" t="s">
        <v>711</v>
      </c>
      <c r="R92" s="10" t="s">
        <v>321</v>
      </c>
      <c r="S92">
        <v>2010</v>
      </c>
      <c r="T92" s="10">
        <v>4</v>
      </c>
      <c r="U92" s="10" t="s">
        <v>712</v>
      </c>
      <c r="V92" s="10" t="s">
        <v>343</v>
      </c>
      <c r="W92" t="s">
        <v>12</v>
      </c>
      <c r="Y92" s="13"/>
      <c r="Z92" t="s">
        <v>13</v>
      </c>
      <c r="AA92" s="15"/>
      <c r="AB92" t="s">
        <v>14</v>
      </c>
      <c r="AC92" s="22" t="s">
        <v>713</v>
      </c>
      <c r="AD92" t="s">
        <v>323</v>
      </c>
      <c r="AE92">
        <v>1</v>
      </c>
      <c r="AF92" s="22">
        <v>1</v>
      </c>
      <c r="AG92">
        <v>64</v>
      </c>
      <c r="AH92" t="s">
        <v>13</v>
      </c>
      <c r="AI92" s="22" t="s">
        <v>13</v>
      </c>
      <c r="AJ92" t="s">
        <v>13</v>
      </c>
      <c r="AK92" t="s">
        <v>13</v>
      </c>
      <c r="AL92" t="s">
        <v>21</v>
      </c>
      <c r="AM92" t="s">
        <v>13</v>
      </c>
      <c r="AN92" t="s">
        <v>13</v>
      </c>
      <c r="AO92" s="14" t="s">
        <v>289</v>
      </c>
      <c r="AP92"/>
      <c r="AQ92" s="16" t="s">
        <v>23</v>
      </c>
      <c r="AR92" s="14" t="s">
        <v>13</v>
      </c>
      <c r="AS92" s="17" t="s">
        <v>716</v>
      </c>
      <c r="AT92" s="17" t="s">
        <v>717</v>
      </c>
      <c r="AU92" t="s">
        <v>718</v>
      </c>
      <c r="AV92" s="14" t="s">
        <v>719</v>
      </c>
      <c r="AW92" s="16" t="s">
        <v>23</v>
      </c>
      <c r="AX92" t="s">
        <v>13</v>
      </c>
      <c r="AY92" t="s">
        <v>13</v>
      </c>
      <c r="AZ92" t="s">
        <v>13</v>
      </c>
      <c r="BA92" t="s">
        <v>23</v>
      </c>
      <c r="BB92" t="s">
        <v>13</v>
      </c>
      <c r="BC92" t="s">
        <v>13</v>
      </c>
      <c r="BD92" t="s">
        <v>13</v>
      </c>
      <c r="BE92"/>
      <c r="BF92" s="22" t="s">
        <v>13</v>
      </c>
      <c r="BG92" s="14" t="s">
        <v>27</v>
      </c>
      <c r="BH92" s="24"/>
      <c r="BI92" s="19" t="s">
        <v>720</v>
      </c>
      <c r="BJ92" s="19" t="s">
        <v>721</v>
      </c>
      <c r="BK92" s="19" t="s">
        <v>722</v>
      </c>
    </row>
    <row r="93" spans="1:63" ht="36" customHeight="1">
      <c r="A93" t="s">
        <v>1081</v>
      </c>
      <c r="B93" s="10" t="s">
        <v>1082</v>
      </c>
      <c r="C93" t="s">
        <v>1083</v>
      </c>
      <c r="D93">
        <v>2015</v>
      </c>
      <c r="E93" t="s">
        <v>1084</v>
      </c>
      <c r="F93" s="10" t="s">
        <v>59</v>
      </c>
      <c r="G93" s="10" t="s">
        <v>60</v>
      </c>
      <c r="H93" s="20" t="s">
        <v>1085</v>
      </c>
      <c r="I93" s="23" t="s">
        <v>1091</v>
      </c>
      <c r="J93" t="s">
        <v>19</v>
      </c>
      <c r="K93" t="s">
        <v>1092</v>
      </c>
      <c r="L93" t="s">
        <v>1092</v>
      </c>
      <c r="M93" s="14" t="s">
        <v>406</v>
      </c>
      <c r="N93" t="s">
        <v>1288</v>
      </c>
      <c r="O93" s="21" t="s">
        <v>1086</v>
      </c>
      <c r="P93" s="10" t="s">
        <v>1087</v>
      </c>
      <c r="Q93" s="11" t="s">
        <v>1088</v>
      </c>
      <c r="R93" s="10" t="s">
        <v>9</v>
      </c>
      <c r="S93">
        <v>2007</v>
      </c>
      <c r="T93">
        <v>2</v>
      </c>
      <c r="U93" s="10" t="s">
        <v>342</v>
      </c>
      <c r="V93" s="10" t="s">
        <v>343</v>
      </c>
      <c r="W93" t="s">
        <v>216</v>
      </c>
      <c r="X93" t="s">
        <v>1332</v>
      </c>
      <c r="Y93" s="22"/>
      <c r="Z93" t="s">
        <v>1304</v>
      </c>
      <c r="AA93" s="15"/>
      <c r="AB93" t="s">
        <v>14</v>
      </c>
      <c r="AC93" s="22" t="s">
        <v>1089</v>
      </c>
      <c r="AD93" t="s">
        <v>16</v>
      </c>
      <c r="AE93">
        <v>182</v>
      </c>
      <c r="AF93" s="22">
        <v>182</v>
      </c>
      <c r="AG93" t="s">
        <v>13</v>
      </c>
      <c r="AH93" t="s">
        <v>13</v>
      </c>
      <c r="AI93" s="22" t="s">
        <v>1090</v>
      </c>
      <c r="AK93" t="s">
        <v>13</v>
      </c>
      <c r="AL93" t="s">
        <v>116</v>
      </c>
      <c r="AM93" t="s">
        <v>117</v>
      </c>
      <c r="AN93" t="s">
        <v>13</v>
      </c>
      <c r="AO93" s="14" t="s">
        <v>13</v>
      </c>
      <c r="AP93"/>
      <c r="AQ93" s="16" t="s">
        <v>23</v>
      </c>
      <c r="AR93" s="14" t="s">
        <v>13</v>
      </c>
      <c r="AS93" s="17" t="s">
        <v>13</v>
      </c>
      <c r="AT93" s="17" t="s">
        <v>13</v>
      </c>
      <c r="AU93" t="s">
        <v>13</v>
      </c>
      <c r="AV93" s="14" t="s">
        <v>13</v>
      </c>
      <c r="AW93" s="16" t="s">
        <v>46</v>
      </c>
      <c r="AX93" t="s">
        <v>200</v>
      </c>
      <c r="AY93" t="s">
        <v>1093</v>
      </c>
      <c r="AZ93" t="s">
        <v>1094</v>
      </c>
      <c r="BA93" t="s">
        <v>46</v>
      </c>
      <c r="BB93" s="10" t="s">
        <v>1095</v>
      </c>
      <c r="BC93" s="10" t="s">
        <v>1339</v>
      </c>
      <c r="BD93" t="s">
        <v>46</v>
      </c>
      <c r="BE93"/>
      <c r="BF93" s="22" t="s">
        <v>1096</v>
      </c>
      <c r="BG93" s="14" t="s">
        <v>69</v>
      </c>
      <c r="BH93" s="24"/>
      <c r="BI93" s="47" t="s">
        <v>1097</v>
      </c>
      <c r="BJ93" s="47" t="s">
        <v>1098</v>
      </c>
      <c r="BK93" s="47">
        <v>0</v>
      </c>
    </row>
    <row r="94" spans="1:63" ht="36" customHeight="1">
      <c r="A94" t="s">
        <v>737</v>
      </c>
      <c r="B94" s="10" t="s">
        <v>738</v>
      </c>
      <c r="C94" t="s">
        <v>739</v>
      </c>
      <c r="D94">
        <v>2016</v>
      </c>
      <c r="E94" t="s">
        <v>272</v>
      </c>
      <c r="F94" s="10" t="s">
        <v>740</v>
      </c>
      <c r="G94" s="10" t="s">
        <v>60</v>
      </c>
      <c r="H94" s="20" t="s">
        <v>741</v>
      </c>
      <c r="I94" s="23" t="s">
        <v>365</v>
      </c>
      <c r="J94" t="s">
        <v>365</v>
      </c>
      <c r="K94" t="s">
        <v>732</v>
      </c>
      <c r="L94" t="s">
        <v>732</v>
      </c>
      <c r="M94" s="14" t="s">
        <v>732</v>
      </c>
      <c r="N94" t="s">
        <v>1288</v>
      </c>
      <c r="O94" s="21" t="s">
        <v>742</v>
      </c>
      <c r="P94" s="10" t="s">
        <v>743</v>
      </c>
      <c r="Q94" s="11" t="s">
        <v>744</v>
      </c>
      <c r="R94" s="10" t="s">
        <v>9</v>
      </c>
      <c r="S94" s="10" t="s">
        <v>745</v>
      </c>
      <c r="T94" t="s">
        <v>746</v>
      </c>
      <c r="U94" t="s">
        <v>729</v>
      </c>
      <c r="V94" s="10" t="s">
        <v>343</v>
      </c>
      <c r="W94" t="s">
        <v>12</v>
      </c>
      <c r="Y94" s="13"/>
      <c r="Z94" t="s">
        <v>13</v>
      </c>
      <c r="AA94" s="15"/>
      <c r="AB94" t="s">
        <v>165</v>
      </c>
      <c r="AC94" s="22" t="s">
        <v>747</v>
      </c>
      <c r="AD94" t="s">
        <v>16</v>
      </c>
      <c r="AE94">
        <v>1225</v>
      </c>
      <c r="AF94" s="22" t="s">
        <v>748</v>
      </c>
      <c r="AG94" t="s">
        <v>13</v>
      </c>
      <c r="AH94" t="s">
        <v>13</v>
      </c>
      <c r="AI94" s="22" t="s">
        <v>13</v>
      </c>
      <c r="AK94" t="s">
        <v>13</v>
      </c>
      <c r="AL94" t="s">
        <v>21</v>
      </c>
      <c r="AM94" t="s">
        <v>13</v>
      </c>
      <c r="AN94" t="s">
        <v>13</v>
      </c>
      <c r="AO94" s="14" t="s">
        <v>662</v>
      </c>
      <c r="AP94" s="26" t="s">
        <v>749</v>
      </c>
      <c r="AQ94" s="16" t="s">
        <v>23</v>
      </c>
      <c r="AR94" s="14" t="s">
        <v>13</v>
      </c>
      <c r="AS94" s="17" t="s">
        <v>13</v>
      </c>
      <c r="AT94" s="17" t="s">
        <v>13</v>
      </c>
      <c r="AU94" t="s">
        <v>13</v>
      </c>
      <c r="AV94" s="14" t="s">
        <v>13</v>
      </c>
      <c r="AW94" s="16" t="s">
        <v>46</v>
      </c>
      <c r="AX94" t="s">
        <v>200</v>
      </c>
      <c r="AY94" t="s">
        <v>750</v>
      </c>
      <c r="AZ94" t="s">
        <v>264</v>
      </c>
      <c r="BA94" t="s">
        <v>23</v>
      </c>
      <c r="BB94" t="s">
        <v>13</v>
      </c>
      <c r="BC94" t="s">
        <v>13</v>
      </c>
      <c r="BD94" t="s">
        <v>23</v>
      </c>
      <c r="BE94"/>
      <c r="BF94" s="22" t="s">
        <v>13</v>
      </c>
      <c r="BG94" s="14" t="s">
        <v>69</v>
      </c>
      <c r="BH94" s="24" t="s">
        <v>751</v>
      </c>
      <c r="BI94" s="47"/>
      <c r="BJ94" s="47"/>
      <c r="BK94" s="47"/>
    </row>
    <row r="95" spans="1:63" ht="72.7" customHeight="1">
      <c r="A95" t="s">
        <v>1037</v>
      </c>
      <c r="B95" s="10" t="s">
        <v>1038</v>
      </c>
      <c r="C95" t="s">
        <v>1039</v>
      </c>
      <c r="D95">
        <v>2024</v>
      </c>
      <c r="E95" t="s">
        <v>1040</v>
      </c>
      <c r="F95" s="10" t="s">
        <v>212</v>
      </c>
      <c r="G95" s="10" t="s">
        <v>212</v>
      </c>
      <c r="H95" s="20" t="s">
        <v>1041</v>
      </c>
      <c r="I95" s="23" t="s">
        <v>18</v>
      </c>
      <c r="J95" t="s">
        <v>19</v>
      </c>
      <c r="K95" t="s">
        <v>1313</v>
      </c>
      <c r="L95" t="s">
        <v>1313</v>
      </c>
      <c r="M95" s="14" t="s">
        <v>732</v>
      </c>
      <c r="N95" t="s">
        <v>1288</v>
      </c>
      <c r="O95" s="21" t="s">
        <v>1042</v>
      </c>
      <c r="P95" s="17" t="s">
        <v>1042</v>
      </c>
      <c r="Q95" s="11" t="s">
        <v>1043</v>
      </c>
      <c r="R95" s="10" t="s">
        <v>1187</v>
      </c>
      <c r="S95">
        <v>2013</v>
      </c>
      <c r="T95">
        <v>7</v>
      </c>
      <c r="U95" t="s">
        <v>1044</v>
      </c>
      <c r="V95" t="s">
        <v>343</v>
      </c>
      <c r="W95" t="s">
        <v>12</v>
      </c>
      <c r="Y95" s="22" t="s">
        <v>1045</v>
      </c>
      <c r="Z95" t="s">
        <v>13</v>
      </c>
      <c r="AA95" s="15"/>
      <c r="AB95" t="s">
        <v>14</v>
      </c>
      <c r="AC95" s="22" t="s">
        <v>1046</v>
      </c>
      <c r="AD95" t="s">
        <v>16</v>
      </c>
      <c r="AE95">
        <v>4</v>
      </c>
      <c r="AF95" s="22" t="s">
        <v>1047</v>
      </c>
      <c r="AG95" t="s">
        <v>13</v>
      </c>
      <c r="AH95">
        <v>24311</v>
      </c>
      <c r="AI95" s="22">
        <v>24311</v>
      </c>
      <c r="AJ95" t="s">
        <v>1048</v>
      </c>
      <c r="AK95" t="s">
        <v>13</v>
      </c>
      <c r="AL95" t="s">
        <v>21</v>
      </c>
      <c r="AM95" t="s">
        <v>13</v>
      </c>
      <c r="AN95" t="s">
        <v>13</v>
      </c>
      <c r="AO95" s="14" t="s">
        <v>22</v>
      </c>
      <c r="AP95"/>
      <c r="AQ95" s="16" t="s">
        <v>23</v>
      </c>
      <c r="AR95" s="14" t="s">
        <v>13</v>
      </c>
      <c r="AS95" s="17" t="s">
        <v>13</v>
      </c>
      <c r="AT95" s="17" t="s">
        <v>13</v>
      </c>
      <c r="AU95" t="s">
        <v>13</v>
      </c>
      <c r="AV95" s="14" t="s">
        <v>13</v>
      </c>
      <c r="AW95" s="16" t="s">
        <v>23</v>
      </c>
      <c r="AX95" t="s">
        <v>13</v>
      </c>
      <c r="AY95" t="s">
        <v>13</v>
      </c>
      <c r="AZ95" t="s">
        <v>13</v>
      </c>
      <c r="BA95" t="s">
        <v>13</v>
      </c>
      <c r="BB95" t="s">
        <v>13</v>
      </c>
      <c r="BC95" t="s">
        <v>13</v>
      </c>
      <c r="BD95" t="s">
        <v>13</v>
      </c>
      <c r="BE95"/>
      <c r="BF95" s="22" t="s">
        <v>13</v>
      </c>
      <c r="BG95" s="14" t="s">
        <v>27</v>
      </c>
      <c r="BH95" s="24"/>
      <c r="BI95" s="19" t="s">
        <v>1049</v>
      </c>
      <c r="BJ95" s="19" t="s">
        <v>1050</v>
      </c>
      <c r="BK95" s="25" t="s">
        <v>1051</v>
      </c>
    </row>
    <row r="96" spans="1:63" ht="129.1">
      <c r="A96" t="s">
        <v>1126</v>
      </c>
      <c r="B96" s="10" t="s">
        <v>1127</v>
      </c>
      <c r="C96" t="s">
        <v>1128</v>
      </c>
      <c r="D96">
        <v>2022</v>
      </c>
      <c r="E96" t="s">
        <v>1129</v>
      </c>
      <c r="F96" s="10" t="s">
        <v>740</v>
      </c>
      <c r="G96" s="10" t="s">
        <v>60</v>
      </c>
      <c r="H96" s="20" t="s">
        <v>1130</v>
      </c>
      <c r="I96" s="23" t="s">
        <v>714</v>
      </c>
      <c r="J96" t="s">
        <v>325</v>
      </c>
      <c r="K96" t="s">
        <v>1311</v>
      </c>
      <c r="L96" t="s">
        <v>1311</v>
      </c>
      <c r="M96" s="14" t="s">
        <v>732</v>
      </c>
      <c r="N96" t="s">
        <v>1288</v>
      </c>
      <c r="O96" s="21" t="s">
        <v>1131</v>
      </c>
      <c r="P96" s="17" t="s">
        <v>1131</v>
      </c>
      <c r="Q96" s="11" t="s">
        <v>1132</v>
      </c>
      <c r="R96" s="10" t="s">
        <v>321</v>
      </c>
      <c r="S96">
        <v>2018</v>
      </c>
      <c r="T96">
        <v>2</v>
      </c>
      <c r="U96" t="s">
        <v>1133</v>
      </c>
      <c r="V96" s="10" t="s">
        <v>343</v>
      </c>
      <c r="W96" t="s">
        <v>12</v>
      </c>
      <c r="Y96" s="22"/>
      <c r="Z96" t="s">
        <v>13</v>
      </c>
      <c r="AA96" s="15"/>
      <c r="AB96" t="s">
        <v>14</v>
      </c>
      <c r="AC96" s="22" t="s">
        <v>1134</v>
      </c>
      <c r="AD96" t="s">
        <v>323</v>
      </c>
      <c r="AE96">
        <v>1</v>
      </c>
      <c r="AF96" s="22">
        <v>1</v>
      </c>
      <c r="AG96">
        <v>48</v>
      </c>
      <c r="AH96" t="s">
        <v>13</v>
      </c>
      <c r="AI96" s="22" t="s">
        <v>13</v>
      </c>
      <c r="AK96" t="s">
        <v>13</v>
      </c>
      <c r="AL96" t="s">
        <v>116</v>
      </c>
      <c r="AM96" t="s">
        <v>117</v>
      </c>
      <c r="AN96" t="s">
        <v>13</v>
      </c>
      <c r="AO96" s="14" t="s">
        <v>13</v>
      </c>
      <c r="AP96"/>
      <c r="AQ96" s="16" t="s">
        <v>23</v>
      </c>
      <c r="AR96" s="14" t="s">
        <v>13</v>
      </c>
      <c r="AS96" s="17" t="s">
        <v>13</v>
      </c>
      <c r="AT96" s="17" t="s">
        <v>13</v>
      </c>
      <c r="AU96" t="s">
        <v>13</v>
      </c>
      <c r="AV96" s="14" t="s">
        <v>13</v>
      </c>
      <c r="AW96" s="16" t="s">
        <v>23</v>
      </c>
      <c r="AX96" t="s">
        <v>13</v>
      </c>
      <c r="AY96" t="s">
        <v>13</v>
      </c>
      <c r="AZ96" t="s">
        <v>13</v>
      </c>
      <c r="BA96" t="s">
        <v>13</v>
      </c>
      <c r="BB96" t="s">
        <v>13</v>
      </c>
      <c r="BC96" t="s">
        <v>13</v>
      </c>
      <c r="BD96" t="s">
        <v>23</v>
      </c>
      <c r="BE96"/>
      <c r="BF96" s="22" t="s">
        <v>1135</v>
      </c>
      <c r="BG96" s="14" t="s">
        <v>27</v>
      </c>
      <c r="BH96" s="24"/>
      <c r="BI96" s="47" t="s">
        <v>1136</v>
      </c>
      <c r="BJ96" s="47" t="s">
        <v>1137</v>
      </c>
      <c r="BK96" s="47" t="s">
        <v>1138</v>
      </c>
    </row>
    <row r="97" spans="1:63" ht="35.35" customHeight="1">
      <c r="A97" t="s">
        <v>124</v>
      </c>
      <c r="B97" s="10" t="s">
        <v>125</v>
      </c>
      <c r="C97" t="s">
        <v>126</v>
      </c>
      <c r="D97">
        <v>2017</v>
      </c>
      <c r="E97" t="s">
        <v>127</v>
      </c>
      <c r="F97" s="10" t="s">
        <v>128</v>
      </c>
      <c r="G97" s="10" t="s">
        <v>129</v>
      </c>
      <c r="H97" s="20" t="s">
        <v>130</v>
      </c>
      <c r="I97" s="23" t="s">
        <v>18</v>
      </c>
      <c r="J97" t="s">
        <v>19</v>
      </c>
      <c r="K97" s="10" t="s">
        <v>1328</v>
      </c>
      <c r="L97" s="10" t="s">
        <v>1328</v>
      </c>
      <c r="M97" s="51" t="s">
        <v>20</v>
      </c>
      <c r="N97" t="s">
        <v>1288</v>
      </c>
      <c r="O97" s="21" t="s">
        <v>13</v>
      </c>
      <c r="P97" s="10" t="s">
        <v>7</v>
      </c>
      <c r="Q97" s="11" t="s">
        <v>131</v>
      </c>
      <c r="R97" s="10" t="s">
        <v>9</v>
      </c>
      <c r="S97">
        <v>2005</v>
      </c>
      <c r="T97">
        <v>4</v>
      </c>
      <c r="U97" s="28" t="s">
        <v>114</v>
      </c>
      <c r="V97" t="s">
        <v>11</v>
      </c>
      <c r="W97" t="s">
        <v>12</v>
      </c>
      <c r="Y97" s="13"/>
      <c r="Z97" t="s">
        <v>13</v>
      </c>
      <c r="AA97" s="15"/>
      <c r="AB97" t="s">
        <v>14</v>
      </c>
      <c r="AC97" s="22" t="s">
        <v>65</v>
      </c>
      <c r="AD97" t="s">
        <v>16</v>
      </c>
      <c r="AE97">
        <v>35</v>
      </c>
      <c r="AF97" s="22">
        <v>35</v>
      </c>
      <c r="AG97" t="s">
        <v>13</v>
      </c>
      <c r="AH97">
        <v>3462</v>
      </c>
      <c r="AI97" s="22">
        <v>3462</v>
      </c>
      <c r="AK97" t="s">
        <v>13</v>
      </c>
      <c r="AL97" t="s">
        <v>116</v>
      </c>
      <c r="AM97" t="s">
        <v>117</v>
      </c>
      <c r="AN97" t="s">
        <v>13</v>
      </c>
      <c r="AO97" s="14" t="s">
        <v>13</v>
      </c>
      <c r="AP97"/>
      <c r="AQ97" s="16" t="s">
        <v>46</v>
      </c>
      <c r="AR97" s="14" t="s">
        <v>132</v>
      </c>
      <c r="AS97" s="17" t="s">
        <v>133</v>
      </c>
      <c r="AT97" s="50" t="s">
        <v>134</v>
      </c>
      <c r="AU97" t="s">
        <v>135</v>
      </c>
      <c r="AV97" s="14" t="s">
        <v>136</v>
      </c>
      <c r="AW97" s="16" t="s">
        <v>23</v>
      </c>
      <c r="AX97" t="s">
        <v>13</v>
      </c>
      <c r="AY97" t="s">
        <v>13</v>
      </c>
      <c r="AZ97" t="s">
        <v>13</v>
      </c>
      <c r="BA97" t="s">
        <v>13</v>
      </c>
      <c r="BB97" t="s">
        <v>13</v>
      </c>
      <c r="BC97" t="s">
        <v>13</v>
      </c>
      <c r="BD97" t="s">
        <v>13</v>
      </c>
      <c r="BE97"/>
      <c r="BF97" s="22" t="s">
        <v>13</v>
      </c>
      <c r="BG97" s="14" t="s">
        <v>96</v>
      </c>
      <c r="BH97" s="18" t="s">
        <v>137</v>
      </c>
      <c r="BI97" s="25" t="s">
        <v>138</v>
      </c>
      <c r="BJ97" s="25" t="s">
        <v>139</v>
      </c>
      <c r="BK97" s="29"/>
    </row>
    <row r="98" spans="1:63" ht="142">
      <c r="A98" t="s">
        <v>178</v>
      </c>
      <c r="B98" s="10" t="s">
        <v>179</v>
      </c>
      <c r="C98" t="s">
        <v>180</v>
      </c>
      <c r="D98">
        <v>2021</v>
      </c>
      <c r="E98" t="s">
        <v>181</v>
      </c>
      <c r="F98" s="10" t="s">
        <v>182</v>
      </c>
      <c r="G98" s="10" t="s">
        <v>129</v>
      </c>
      <c r="H98" s="20" t="s">
        <v>183</v>
      </c>
      <c r="I98" s="11" t="s">
        <v>194</v>
      </c>
      <c r="J98" t="s">
        <v>19</v>
      </c>
      <c r="K98" t="s">
        <v>195</v>
      </c>
      <c r="L98" t="s">
        <v>1286</v>
      </c>
      <c r="M98" s="51" t="s">
        <v>196</v>
      </c>
      <c r="N98" t="s">
        <v>1288</v>
      </c>
      <c r="O98" s="21" t="s">
        <v>184</v>
      </c>
      <c r="P98" s="10" t="s">
        <v>185</v>
      </c>
      <c r="Q98" s="11" t="s">
        <v>186</v>
      </c>
      <c r="R98" s="10" t="s">
        <v>9</v>
      </c>
      <c r="S98" s="10" t="s">
        <v>187</v>
      </c>
      <c r="T98" s="10">
        <v>6</v>
      </c>
      <c r="U98" s="28" t="s">
        <v>188</v>
      </c>
      <c r="V98" s="10" t="s">
        <v>11</v>
      </c>
      <c r="W98" t="s">
        <v>216</v>
      </c>
      <c r="X98" t="s">
        <v>1332</v>
      </c>
      <c r="Y98" s="26" t="s">
        <v>189</v>
      </c>
      <c r="Z98" t="s">
        <v>1304</v>
      </c>
      <c r="AA98" s="53" t="s">
        <v>190</v>
      </c>
      <c r="AB98" t="s">
        <v>14</v>
      </c>
      <c r="AC98" s="22" t="s">
        <v>191</v>
      </c>
      <c r="AD98" t="s">
        <v>16</v>
      </c>
      <c r="AE98" t="s">
        <v>192</v>
      </c>
      <c r="AF98" s="13" t="s">
        <v>192</v>
      </c>
      <c r="AG98" s="10" t="s">
        <v>13</v>
      </c>
      <c r="AH98" t="s">
        <v>13</v>
      </c>
      <c r="AI98" s="22" t="s">
        <v>13</v>
      </c>
      <c r="AJ98" t="s">
        <v>13</v>
      </c>
      <c r="AK98" s="12" t="s">
        <v>193</v>
      </c>
      <c r="AL98" t="s">
        <v>116</v>
      </c>
      <c r="AM98" t="s">
        <v>117</v>
      </c>
      <c r="AN98" t="s">
        <v>13</v>
      </c>
      <c r="AO98" s="51" t="s">
        <v>13</v>
      </c>
      <c r="AQ98" s="16" t="s">
        <v>23</v>
      </c>
      <c r="AR98" s="14" t="s">
        <v>13</v>
      </c>
      <c r="AS98" s="17" t="s">
        <v>197</v>
      </c>
      <c r="AT98" s="50" t="s">
        <v>198</v>
      </c>
      <c r="AU98" t="s">
        <v>13</v>
      </c>
      <c r="AV98" s="51" t="s">
        <v>199</v>
      </c>
      <c r="AW98" s="16" t="s">
        <v>46</v>
      </c>
      <c r="AX98" t="s">
        <v>262</v>
      </c>
      <c r="AY98" t="s">
        <v>201</v>
      </c>
      <c r="AZ98" t="s">
        <v>202</v>
      </c>
      <c r="BA98" t="s">
        <v>23</v>
      </c>
      <c r="BB98" t="s">
        <v>13</v>
      </c>
      <c r="BC98" t="s">
        <v>13</v>
      </c>
      <c r="BD98" t="s">
        <v>23</v>
      </c>
      <c r="BE98"/>
      <c r="BF98" s="22" t="s">
        <v>203</v>
      </c>
      <c r="BG98" s="14" t="s">
        <v>204</v>
      </c>
      <c r="BH98" s="24"/>
      <c r="BI98" s="47" t="s">
        <v>205</v>
      </c>
      <c r="BJ98" s="47" t="s">
        <v>206</v>
      </c>
      <c r="BK98" s="47" t="s">
        <v>207</v>
      </c>
    </row>
    <row r="99" spans="1:63" ht="42.8">
      <c r="A99" t="s">
        <v>1262</v>
      </c>
      <c r="I99" s="11" t="s">
        <v>194</v>
      </c>
      <c r="J99" t="s">
        <v>19</v>
      </c>
      <c r="K99" t="s">
        <v>1260</v>
      </c>
      <c r="L99" t="s">
        <v>1260</v>
      </c>
      <c r="M99" s="51" t="s">
        <v>196</v>
      </c>
      <c r="N99" s="16" t="s">
        <v>1288</v>
      </c>
      <c r="O99" s="21"/>
      <c r="P99" s="10" t="s">
        <v>1258</v>
      </c>
      <c r="Q99" s="11"/>
      <c r="R99" s="10" t="s">
        <v>9</v>
      </c>
      <c r="S99" s="10">
        <v>2010</v>
      </c>
      <c r="T99" s="10">
        <v>6</v>
      </c>
      <c r="U99" s="28" t="s">
        <v>188</v>
      </c>
      <c r="V99" s="10" t="s">
        <v>11</v>
      </c>
      <c r="W99" t="s">
        <v>216</v>
      </c>
      <c r="X99" t="s">
        <v>1332</v>
      </c>
      <c r="Y99" s="26" t="s">
        <v>189</v>
      </c>
      <c r="Z99" t="s">
        <v>1304</v>
      </c>
      <c r="AA99" s="53" t="s">
        <v>190</v>
      </c>
      <c r="AB99" t="s">
        <v>14</v>
      </c>
      <c r="AC99" s="22" t="s">
        <v>191</v>
      </c>
      <c r="AD99" t="s">
        <v>16</v>
      </c>
      <c r="AE99">
        <v>357</v>
      </c>
      <c r="AF99" s="13"/>
      <c r="AG99" s="10" t="s">
        <v>13</v>
      </c>
      <c r="AH99" t="s">
        <v>13</v>
      </c>
      <c r="AI99" s="22" t="s">
        <v>13</v>
      </c>
      <c r="AJ99" t="s">
        <v>13</v>
      </c>
      <c r="AK99" s="12">
        <v>2397993</v>
      </c>
      <c r="AL99" t="s">
        <v>116</v>
      </c>
      <c r="AM99" t="s">
        <v>117</v>
      </c>
      <c r="AN99" t="s">
        <v>13</v>
      </c>
      <c r="AO99" s="14" t="s">
        <v>13</v>
      </c>
      <c r="AQ99" s="16"/>
      <c r="AR99" s="14"/>
      <c r="AS99" s="17" t="s">
        <v>197</v>
      </c>
      <c r="AT99" s="50" t="s">
        <v>198</v>
      </c>
      <c r="AU99" s="14" t="s">
        <v>13</v>
      </c>
      <c r="AV99" s="14" t="s">
        <v>199</v>
      </c>
      <c r="AW99" s="16" t="s">
        <v>46</v>
      </c>
      <c r="AX99" t="s">
        <v>262</v>
      </c>
      <c r="AY99" t="s">
        <v>201</v>
      </c>
      <c r="AZ99" t="s">
        <v>202</v>
      </c>
      <c r="BA99" t="s">
        <v>23</v>
      </c>
      <c r="BB99" t="s">
        <v>13</v>
      </c>
      <c r="BC99" t="s">
        <v>13</v>
      </c>
      <c r="BD99" t="s">
        <v>23</v>
      </c>
      <c r="BE99"/>
      <c r="BF99" s="22" t="s">
        <v>203</v>
      </c>
      <c r="BG99" s="14" t="s">
        <v>204</v>
      </c>
      <c r="BH99" s="24"/>
      <c r="BI99" s="47"/>
      <c r="BJ99" s="47"/>
      <c r="BK99" s="47"/>
    </row>
    <row r="100" spans="1:63" ht="42.8">
      <c r="A100" t="s">
        <v>1263</v>
      </c>
      <c r="I100" s="11" t="s">
        <v>194</v>
      </c>
      <c r="J100" t="s">
        <v>19</v>
      </c>
      <c r="K100" t="s">
        <v>644</v>
      </c>
      <c r="L100" t="s">
        <v>644</v>
      </c>
      <c r="M100" s="51" t="s">
        <v>196</v>
      </c>
      <c r="N100" s="16" t="s">
        <v>1288</v>
      </c>
      <c r="O100" s="21"/>
      <c r="P100" s="10" t="s">
        <v>635</v>
      </c>
      <c r="Q100" s="11"/>
      <c r="R100" s="10" t="s">
        <v>9</v>
      </c>
      <c r="S100" s="10">
        <v>2010</v>
      </c>
      <c r="T100" s="10">
        <v>6</v>
      </c>
      <c r="U100" s="28" t="s">
        <v>188</v>
      </c>
      <c r="V100" s="10" t="s">
        <v>11</v>
      </c>
      <c r="W100" t="s">
        <v>216</v>
      </c>
      <c r="X100" t="s">
        <v>1332</v>
      </c>
      <c r="Y100" s="26" t="s">
        <v>189</v>
      </c>
      <c r="Z100" t="s">
        <v>1304</v>
      </c>
      <c r="AA100" s="53" t="s">
        <v>190</v>
      </c>
      <c r="AB100" t="s">
        <v>14</v>
      </c>
      <c r="AC100" s="22" t="s">
        <v>191</v>
      </c>
      <c r="AD100" t="s">
        <v>16</v>
      </c>
      <c r="AE100">
        <v>211</v>
      </c>
      <c r="AF100" s="13"/>
      <c r="AG100" s="10" t="s">
        <v>13</v>
      </c>
      <c r="AH100" t="s">
        <v>13</v>
      </c>
      <c r="AI100" s="22" t="s">
        <v>13</v>
      </c>
      <c r="AJ100" t="s">
        <v>13</v>
      </c>
      <c r="AK100" s="12">
        <v>1268239</v>
      </c>
      <c r="AL100" t="s">
        <v>116</v>
      </c>
      <c r="AM100" t="s">
        <v>117</v>
      </c>
      <c r="AN100" t="s">
        <v>13</v>
      </c>
      <c r="AO100" s="51" t="s">
        <v>13</v>
      </c>
      <c r="AQ100" s="16"/>
      <c r="AR100" s="14"/>
      <c r="AS100" s="17" t="s">
        <v>197</v>
      </c>
      <c r="AT100" s="50" t="s">
        <v>198</v>
      </c>
      <c r="AU100" s="14" t="s">
        <v>13</v>
      </c>
      <c r="AV100" s="14" t="s">
        <v>199</v>
      </c>
      <c r="AW100" s="16" t="s">
        <v>46</v>
      </c>
      <c r="AX100" t="s">
        <v>262</v>
      </c>
      <c r="AY100" t="s">
        <v>201</v>
      </c>
      <c r="AZ100" t="s">
        <v>202</v>
      </c>
      <c r="BA100" t="s">
        <v>23</v>
      </c>
      <c r="BB100" t="s">
        <v>13</v>
      </c>
      <c r="BC100" t="s">
        <v>13</v>
      </c>
      <c r="BD100" t="s">
        <v>23</v>
      </c>
      <c r="BE100"/>
      <c r="BF100" s="22" t="s">
        <v>203</v>
      </c>
      <c r="BG100" s="14" t="s">
        <v>204</v>
      </c>
      <c r="BH100" s="24"/>
      <c r="BI100" s="47"/>
      <c r="BJ100" s="47"/>
      <c r="BK100" s="47"/>
    </row>
    <row r="101" spans="1:63" ht="42.8">
      <c r="A101" t="s">
        <v>1303</v>
      </c>
      <c r="I101" s="11" t="s">
        <v>194</v>
      </c>
      <c r="J101" t="s">
        <v>19</v>
      </c>
      <c r="K101" t="s">
        <v>1261</v>
      </c>
      <c r="L101" t="s">
        <v>1261</v>
      </c>
      <c r="M101" s="51" t="s">
        <v>196</v>
      </c>
      <c r="N101" s="16" t="s">
        <v>1288</v>
      </c>
      <c r="O101" s="21"/>
      <c r="P101" s="10" t="s">
        <v>1259</v>
      </c>
      <c r="Q101" s="11"/>
      <c r="R101" s="10" t="s">
        <v>9</v>
      </c>
      <c r="S101" s="10">
        <v>2011</v>
      </c>
      <c r="T101" s="10">
        <v>6</v>
      </c>
      <c r="U101" s="28" t="s">
        <v>188</v>
      </c>
      <c r="V101" s="10" t="s">
        <v>11</v>
      </c>
      <c r="W101" t="s">
        <v>216</v>
      </c>
      <c r="X101" t="s">
        <v>1332</v>
      </c>
      <c r="Y101" s="26" t="s">
        <v>189</v>
      </c>
      <c r="Z101" t="s">
        <v>1304</v>
      </c>
      <c r="AA101" s="53" t="s">
        <v>190</v>
      </c>
      <c r="AB101" t="s">
        <v>14</v>
      </c>
      <c r="AC101" s="22" t="s">
        <v>191</v>
      </c>
      <c r="AD101" t="s">
        <v>16</v>
      </c>
      <c r="AE101">
        <v>126</v>
      </c>
      <c r="AF101" s="13"/>
      <c r="AG101" s="10" t="s">
        <v>13</v>
      </c>
      <c r="AH101" t="s">
        <v>13</v>
      </c>
      <c r="AI101" s="22" t="s">
        <v>13</v>
      </c>
      <c r="AJ101" t="s">
        <v>13</v>
      </c>
      <c r="AK101" s="12">
        <v>1410588</v>
      </c>
      <c r="AL101" t="s">
        <v>116</v>
      </c>
      <c r="AM101" t="s">
        <v>117</v>
      </c>
      <c r="AN101" t="s">
        <v>13</v>
      </c>
      <c r="AO101" s="51" t="s">
        <v>13</v>
      </c>
      <c r="AQ101" s="16"/>
      <c r="AR101" s="14"/>
      <c r="AS101" s="17" t="s">
        <v>197</v>
      </c>
      <c r="AT101" s="50" t="s">
        <v>198</v>
      </c>
      <c r="AU101" s="14" t="s">
        <v>13</v>
      </c>
      <c r="AV101" s="14" t="s">
        <v>199</v>
      </c>
      <c r="AW101" s="16" t="s">
        <v>46</v>
      </c>
      <c r="AX101" t="s">
        <v>262</v>
      </c>
      <c r="AY101" t="s">
        <v>201</v>
      </c>
      <c r="AZ101" t="s">
        <v>202</v>
      </c>
      <c r="BA101" t="s">
        <v>23</v>
      </c>
      <c r="BB101" t="s">
        <v>13</v>
      </c>
      <c r="BC101" t="s">
        <v>13</v>
      </c>
      <c r="BD101" t="s">
        <v>23</v>
      </c>
      <c r="BE101"/>
      <c r="BF101" s="22" t="s">
        <v>203</v>
      </c>
      <c r="BG101" s="14" t="s">
        <v>204</v>
      </c>
      <c r="BH101" s="24"/>
      <c r="BI101" s="47"/>
      <c r="BJ101" s="47"/>
      <c r="BK101" s="47"/>
    </row>
    <row r="102" spans="1:63" ht="77.45">
      <c r="A102" t="s">
        <v>208</v>
      </c>
      <c r="B102" s="10" t="s">
        <v>209</v>
      </c>
      <c r="C102" t="s">
        <v>210</v>
      </c>
      <c r="D102">
        <v>2024</v>
      </c>
      <c r="E102" t="s">
        <v>211</v>
      </c>
      <c r="F102" s="10" t="s">
        <v>212</v>
      </c>
      <c r="G102" s="10" t="s">
        <v>212</v>
      </c>
      <c r="H102" s="20" t="s">
        <v>213</v>
      </c>
      <c r="I102" s="23" t="s">
        <v>194</v>
      </c>
      <c r="J102" t="s">
        <v>19</v>
      </c>
      <c r="K102" t="s">
        <v>195</v>
      </c>
      <c r="L102" t="s">
        <v>1286</v>
      </c>
      <c r="M102" s="51" t="s">
        <v>196</v>
      </c>
      <c r="N102" s="16" t="s">
        <v>1288</v>
      </c>
      <c r="O102" s="21" t="s">
        <v>214</v>
      </c>
      <c r="P102" s="10" t="s">
        <v>185</v>
      </c>
      <c r="Q102" s="11" t="s">
        <v>215</v>
      </c>
      <c r="R102" s="10" t="s">
        <v>9</v>
      </c>
      <c r="S102">
        <v>2010</v>
      </c>
      <c r="T102" s="10">
        <v>7</v>
      </c>
      <c r="U102" s="28" t="s">
        <v>188</v>
      </c>
      <c r="V102" s="10" t="s">
        <v>11</v>
      </c>
      <c r="W102" t="s">
        <v>216</v>
      </c>
      <c r="X102" t="s">
        <v>1332</v>
      </c>
      <c r="Y102" s="13"/>
      <c r="Z102" t="s">
        <v>164</v>
      </c>
      <c r="AA102" s="53"/>
      <c r="AB102" t="s">
        <v>14</v>
      </c>
      <c r="AC102" s="22" t="s">
        <v>191</v>
      </c>
      <c r="AD102" t="s">
        <v>16</v>
      </c>
      <c r="AE102" t="s">
        <v>192</v>
      </c>
      <c r="AF102" s="22" t="s">
        <v>192</v>
      </c>
      <c r="AG102" t="s">
        <v>13</v>
      </c>
      <c r="AH102" t="s">
        <v>13</v>
      </c>
      <c r="AI102" s="22" t="s">
        <v>13</v>
      </c>
      <c r="AJ102" t="s">
        <v>13</v>
      </c>
      <c r="AK102" s="12" t="s">
        <v>217</v>
      </c>
      <c r="AL102" t="s">
        <v>116</v>
      </c>
      <c r="AM102" t="s">
        <v>117</v>
      </c>
      <c r="AN102" t="s">
        <v>13</v>
      </c>
      <c r="AO102" s="51" t="s">
        <v>13</v>
      </c>
      <c r="AQ102" s="16" t="s">
        <v>23</v>
      </c>
      <c r="AR102" s="14" t="s">
        <v>13</v>
      </c>
      <c r="AS102" s="17" t="s">
        <v>218</v>
      </c>
      <c r="AT102" s="50" t="s">
        <v>219</v>
      </c>
      <c r="AU102" s="14" t="s">
        <v>13</v>
      </c>
      <c r="AV102" s="14" t="s">
        <v>13</v>
      </c>
      <c r="AW102" s="16" t="s">
        <v>46</v>
      </c>
      <c r="AX102" t="s">
        <v>200</v>
      </c>
      <c r="AY102" t="s">
        <v>201</v>
      </c>
      <c r="AZ102" t="s">
        <v>220</v>
      </c>
      <c r="BA102" t="s">
        <v>23</v>
      </c>
      <c r="BB102" t="s">
        <v>13</v>
      </c>
      <c r="BC102" t="s">
        <v>13</v>
      </c>
      <c r="BD102" t="s">
        <v>23</v>
      </c>
      <c r="BE102"/>
      <c r="BF102" s="22" t="s">
        <v>221</v>
      </c>
      <c r="BG102" s="14" t="s">
        <v>27</v>
      </c>
      <c r="BH102" s="24" t="s">
        <v>222</v>
      </c>
      <c r="BI102" s="47" t="s">
        <v>1292</v>
      </c>
      <c r="BJ102" s="47" t="s">
        <v>1293</v>
      </c>
      <c r="BK102" s="47" t="s">
        <v>1294</v>
      </c>
    </row>
    <row r="103" spans="1:63">
      <c r="A103" t="s">
        <v>1264</v>
      </c>
      <c r="I103" s="23" t="s">
        <v>194</v>
      </c>
      <c r="J103" t="s">
        <v>19</v>
      </c>
      <c r="K103" t="s">
        <v>1260</v>
      </c>
      <c r="L103" t="s">
        <v>1260</v>
      </c>
      <c r="M103" s="51" t="s">
        <v>196</v>
      </c>
      <c r="N103" s="16" t="s">
        <v>1288</v>
      </c>
      <c r="O103" s="21"/>
      <c r="P103" s="10" t="s">
        <v>1258</v>
      </c>
      <c r="Q103" s="11"/>
      <c r="R103" s="10" t="s">
        <v>9</v>
      </c>
      <c r="S103">
        <v>2010</v>
      </c>
      <c r="T103" s="10">
        <v>7</v>
      </c>
      <c r="U103" s="28" t="s">
        <v>188</v>
      </c>
      <c r="V103" s="10" t="s">
        <v>11</v>
      </c>
      <c r="W103" t="s">
        <v>216</v>
      </c>
      <c r="X103" t="s">
        <v>1332</v>
      </c>
      <c r="Y103" s="13"/>
      <c r="Z103" t="s">
        <v>164</v>
      </c>
      <c r="AA103" s="53"/>
      <c r="AB103" t="s">
        <v>14</v>
      </c>
      <c r="AC103" s="22" t="s">
        <v>191</v>
      </c>
      <c r="AD103" t="s">
        <v>16</v>
      </c>
      <c r="AE103">
        <v>357</v>
      </c>
      <c r="AF103" s="22"/>
      <c r="AG103" s="10" t="s">
        <v>13</v>
      </c>
      <c r="AH103" t="s">
        <v>13</v>
      </c>
      <c r="AI103" s="22" t="s">
        <v>13</v>
      </c>
      <c r="AJ103" t="s">
        <v>13</v>
      </c>
      <c r="AK103" s="12">
        <v>7590768</v>
      </c>
      <c r="AL103" t="s">
        <v>116</v>
      </c>
      <c r="AM103" t="s">
        <v>117</v>
      </c>
      <c r="AN103" t="s">
        <v>13</v>
      </c>
      <c r="AO103" s="51" t="s">
        <v>13</v>
      </c>
      <c r="AQ103" s="16"/>
      <c r="AR103" s="14"/>
      <c r="AS103" s="17" t="s">
        <v>218</v>
      </c>
      <c r="AT103" s="50" t="s">
        <v>219</v>
      </c>
      <c r="AU103" s="14" t="s">
        <v>13</v>
      </c>
      <c r="AV103" s="14" t="s">
        <v>13</v>
      </c>
      <c r="AW103" s="16" t="s">
        <v>46</v>
      </c>
      <c r="AX103" t="s">
        <v>200</v>
      </c>
      <c r="AY103" t="s">
        <v>201</v>
      </c>
      <c r="AZ103" t="s">
        <v>220</v>
      </c>
      <c r="BA103" t="s">
        <v>23</v>
      </c>
      <c r="BB103" t="s">
        <v>13</v>
      </c>
      <c r="BC103" t="s">
        <v>13</v>
      </c>
      <c r="BD103" t="s">
        <v>23</v>
      </c>
      <c r="BE103"/>
      <c r="BF103" s="22" t="s">
        <v>221</v>
      </c>
      <c r="BG103" s="14" t="s">
        <v>27</v>
      </c>
      <c r="BH103" s="24"/>
      <c r="BI103" s="47"/>
      <c r="BJ103" s="47"/>
      <c r="BK103" s="47"/>
    </row>
    <row r="104" spans="1:63">
      <c r="A104" t="s">
        <v>1265</v>
      </c>
      <c r="I104" s="23" t="s">
        <v>194</v>
      </c>
      <c r="J104" t="s">
        <v>19</v>
      </c>
      <c r="K104" t="s">
        <v>644</v>
      </c>
      <c r="L104" t="s">
        <v>644</v>
      </c>
      <c r="M104" s="51" t="s">
        <v>196</v>
      </c>
      <c r="N104" s="16" t="s">
        <v>1288</v>
      </c>
      <c r="O104" s="21"/>
      <c r="P104" s="17" t="s">
        <v>635</v>
      </c>
      <c r="Q104" s="11"/>
      <c r="R104" s="10" t="s">
        <v>9</v>
      </c>
      <c r="S104">
        <v>2010</v>
      </c>
      <c r="T104" s="10">
        <v>7</v>
      </c>
      <c r="U104" s="28" t="s">
        <v>188</v>
      </c>
      <c r="V104" s="10" t="s">
        <v>11</v>
      </c>
      <c r="W104" t="s">
        <v>216</v>
      </c>
      <c r="X104" t="s">
        <v>1332</v>
      </c>
      <c r="Y104" s="13"/>
      <c r="Z104" t="s">
        <v>164</v>
      </c>
      <c r="AA104" s="53"/>
      <c r="AB104" t="s">
        <v>14</v>
      </c>
      <c r="AC104" s="22" t="s">
        <v>191</v>
      </c>
      <c r="AD104" t="s">
        <v>16</v>
      </c>
      <c r="AE104">
        <v>211</v>
      </c>
      <c r="AF104" s="22"/>
      <c r="AG104" s="10" t="s">
        <v>13</v>
      </c>
      <c r="AH104" t="s">
        <v>13</v>
      </c>
      <c r="AI104" s="22" t="s">
        <v>13</v>
      </c>
      <c r="AJ104" t="s">
        <v>13</v>
      </c>
      <c r="AK104" s="12">
        <v>4287973</v>
      </c>
      <c r="AL104" t="s">
        <v>116</v>
      </c>
      <c r="AM104" t="s">
        <v>117</v>
      </c>
      <c r="AN104" t="s">
        <v>13</v>
      </c>
      <c r="AO104" s="14" t="s">
        <v>13</v>
      </c>
      <c r="AQ104" s="16"/>
      <c r="AR104" s="14"/>
      <c r="AS104" s="17" t="s">
        <v>218</v>
      </c>
      <c r="AT104" s="50" t="s">
        <v>219</v>
      </c>
      <c r="AU104" s="14" t="s">
        <v>13</v>
      </c>
      <c r="AV104" s="14" t="s">
        <v>13</v>
      </c>
      <c r="AW104" s="16" t="s">
        <v>46</v>
      </c>
      <c r="AX104" t="s">
        <v>200</v>
      </c>
      <c r="AY104" t="s">
        <v>201</v>
      </c>
      <c r="AZ104" t="s">
        <v>220</v>
      </c>
      <c r="BA104" t="s">
        <v>23</v>
      </c>
      <c r="BB104" t="s">
        <v>13</v>
      </c>
      <c r="BC104" t="s">
        <v>13</v>
      </c>
      <c r="BD104" t="s">
        <v>23</v>
      </c>
      <c r="BE104"/>
      <c r="BF104" s="22" t="s">
        <v>221</v>
      </c>
      <c r="BG104" s="14" t="s">
        <v>27</v>
      </c>
      <c r="BH104" s="51"/>
      <c r="BI104" s="47"/>
      <c r="BJ104" s="47"/>
      <c r="BK104" s="47"/>
    </row>
    <row r="105" spans="1:63">
      <c r="A105" t="s">
        <v>1266</v>
      </c>
      <c r="H105" s="50"/>
      <c r="I105" s="23" t="s">
        <v>194</v>
      </c>
      <c r="J105" t="s">
        <v>19</v>
      </c>
      <c r="K105" t="s">
        <v>1261</v>
      </c>
      <c r="L105" t="s">
        <v>1261</v>
      </c>
      <c r="M105" s="51" t="s">
        <v>196</v>
      </c>
      <c r="N105" s="16" t="s">
        <v>1288</v>
      </c>
      <c r="O105" s="21"/>
      <c r="P105" s="10" t="s">
        <v>1259</v>
      </c>
      <c r="Q105" s="11"/>
      <c r="R105" s="10" t="s">
        <v>9</v>
      </c>
      <c r="S105">
        <v>2010</v>
      </c>
      <c r="T105" s="10">
        <v>7</v>
      </c>
      <c r="U105" s="28" t="s">
        <v>188</v>
      </c>
      <c r="V105" s="10" t="s">
        <v>11</v>
      </c>
      <c r="W105" t="s">
        <v>216</v>
      </c>
      <c r="X105" t="s">
        <v>1332</v>
      </c>
      <c r="Y105" s="13"/>
      <c r="Z105" t="s">
        <v>164</v>
      </c>
      <c r="AA105" s="53"/>
      <c r="AB105" t="s">
        <v>14</v>
      </c>
      <c r="AC105" s="22" t="s">
        <v>191</v>
      </c>
      <c r="AD105" t="s">
        <v>16</v>
      </c>
      <c r="AE105">
        <v>126</v>
      </c>
      <c r="AF105" s="22"/>
      <c r="AG105" s="10" t="s">
        <v>13</v>
      </c>
      <c r="AH105" t="s">
        <v>13</v>
      </c>
      <c r="AI105" s="22" t="s">
        <v>13</v>
      </c>
      <c r="AJ105" t="s">
        <v>13</v>
      </c>
      <c r="AK105" s="12">
        <v>3339086</v>
      </c>
      <c r="AL105" t="s">
        <v>116</v>
      </c>
      <c r="AM105" t="s">
        <v>117</v>
      </c>
      <c r="AN105" t="s">
        <v>13</v>
      </c>
      <c r="AO105" s="14" t="s">
        <v>13</v>
      </c>
      <c r="AQ105" s="16"/>
      <c r="AR105" s="14"/>
      <c r="AS105" s="17" t="s">
        <v>218</v>
      </c>
      <c r="AT105" s="50" t="s">
        <v>219</v>
      </c>
      <c r="AU105" s="14" t="s">
        <v>13</v>
      </c>
      <c r="AV105" s="14" t="s">
        <v>13</v>
      </c>
      <c r="AW105" s="16" t="s">
        <v>46</v>
      </c>
      <c r="AX105" t="s">
        <v>200</v>
      </c>
      <c r="AY105" t="s">
        <v>201</v>
      </c>
      <c r="AZ105" t="s">
        <v>220</v>
      </c>
      <c r="BA105" t="s">
        <v>23</v>
      </c>
      <c r="BB105" t="s">
        <v>13</v>
      </c>
      <c r="BC105" t="s">
        <v>13</v>
      </c>
      <c r="BD105" t="s">
        <v>23</v>
      </c>
      <c r="BE105"/>
      <c r="BF105" s="22" t="s">
        <v>221</v>
      </c>
      <c r="BG105" s="14" t="s">
        <v>27</v>
      </c>
      <c r="BH105" s="24"/>
      <c r="BI105" s="47"/>
      <c r="BJ105" s="47"/>
      <c r="BK105" s="47"/>
    </row>
  </sheetData>
  <phoneticPr fontId="9"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elise, hodbert</dc:creator>
  <cp:lastModifiedBy>HODBERT Elise</cp:lastModifiedBy>
  <dcterms:created xsi:type="dcterms:W3CDTF">2015-06-05T18:19:34Z</dcterms:created>
  <dcterms:modified xsi:type="dcterms:W3CDTF">2025-12-29T08:56:21Z</dcterms:modified>
</cp:coreProperties>
</file>